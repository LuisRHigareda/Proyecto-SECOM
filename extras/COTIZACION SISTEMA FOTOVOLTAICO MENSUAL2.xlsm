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SECOM\Cotizaciones José\"/>
    </mc:Choice>
  </mc:AlternateContent>
  <xr:revisionPtr revIDLastSave="0" documentId="13_ncr:1_{4A7B3C4F-C345-49F5-9351-3303226BF851}" xr6:coauthVersionLast="47" xr6:coauthVersionMax="47" xr10:uidLastSave="{00000000-0000-0000-0000-000000000000}"/>
  <bookViews>
    <workbookView xWindow="-108" yWindow="-108" windowWidth="23256" windowHeight="13176" tabRatio="680" firstSheet="3" activeTab="7" xr2:uid="{00000000-000D-0000-FFFF-FFFF00000000}"/>
  </bookViews>
  <sheets>
    <sheet name="Referencias" sheetId="1" state="hidden" r:id="rId1"/>
    <sheet name="Tablas" sheetId="2" state="hidden" r:id="rId2"/>
    <sheet name="cal. tierra" sheetId="3" state="hidden" r:id="rId3"/>
    <sheet name="PROMEDIO DE CONSUMO" sheetId="4" r:id="rId4"/>
    <sheet name="CALCULO DE ENERGIA" sheetId="5" r:id="rId5"/>
    <sheet name="COTIZACIÓN" sheetId="6" r:id="rId6"/>
    <sheet name="RECUPERACION" sheetId="7" r:id="rId7"/>
    <sheet name="FORMATO DE COTIZACION" sheetId="8" r:id="rId8"/>
  </sheets>
  <externalReferences>
    <externalReference r:id="rId9"/>
    <externalReference r:id="rId10"/>
  </externalReferences>
  <definedNames>
    <definedName name="_NOM310">[1]Tablas!$B$66:$K$89</definedName>
    <definedName name="ACOPLADOR">Tablas!$J$4:$M$12</definedName>
    <definedName name="_xlnm.Print_Area" localSheetId="7">'FORMATO DE COTIZACION'!$A$1:$K$62</definedName>
    <definedName name="BARRA">Tablas!$O$4:$R$12</definedName>
    <definedName name="CAL_Cu_16">[2]TABLAS!$A$5:$F$31</definedName>
    <definedName name="CALIBRE">Tablas!$A$6:$H$15</definedName>
    <definedName name="CAP_ALIM_16">[2]TABLAS!$C$274:$V$299</definedName>
    <definedName name="Charolas">[1]Tablas!$B$114:$E$126</definedName>
    <definedName name="Desnudo">[1]Tablas!$B$93:$D$112</definedName>
    <definedName name="DUCTO">[2]TABLAS!$F$202:$I$208</definedName>
    <definedName name="DUCTO1">[2]TABLAS!$H$202:$I$207</definedName>
    <definedName name="ELECTRODO">Tablas!$A$4:$D$15</definedName>
    <definedName name="EXC_PARA">Tablas!$C$5:$F$15</definedName>
    <definedName name="EXCAVACION">Tablas!$A$6:$F$15</definedName>
    <definedName name="FAT">[2]TABLAS!$B$260:$E$269</definedName>
    <definedName name="insolacin1">Referencias!$A$71:$G$99</definedName>
    <definedName name="Insolación">Referencias!$A$1:$G$62</definedName>
    <definedName name="insolasion">Referencias!$A$7:$G$62</definedName>
    <definedName name="ITM">[1]Tablas!$B$2:$G$35</definedName>
    <definedName name="ITM_CH">[2]TABLAS!$J$302:$O$335</definedName>
    <definedName name="ITM_IL">[2]TABLAS!$B$90:$G$123</definedName>
    <definedName name="ITM_NQOD">[1]Tablas!$J$2:$O$35</definedName>
    <definedName name="ITM_SQ">[2]TABLAS!$J$90:$O$123</definedName>
    <definedName name="ITM_SW">[2]TABLAS!$B$302:$G$335</definedName>
    <definedName name="TUBERIA">[1]Tablas!$B$148:$E$160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8" i="4" l="1"/>
  <c r="C17" i="4"/>
  <c r="O17" i="4"/>
  <c r="K12" i="4"/>
  <c r="M12" i="4" s="1"/>
  <c r="K6" i="4"/>
  <c r="P18" i="4"/>
  <c r="P17" i="4"/>
  <c r="D18" i="8"/>
  <c r="D16" i="8"/>
  <c r="D15" i="8"/>
  <c r="J14" i="8"/>
  <c r="D14" i="8"/>
  <c r="D13" i="8"/>
  <c r="I9" i="8"/>
  <c r="I3" i="8"/>
  <c r="L34" i="7"/>
  <c r="L33" i="7"/>
  <c r="L32" i="7"/>
  <c r="L31" i="7"/>
  <c r="L30" i="7"/>
  <c r="L29" i="7"/>
  <c r="L28" i="7"/>
  <c r="L27" i="7"/>
  <c r="D27" i="7"/>
  <c r="L26" i="7"/>
  <c r="D26" i="7"/>
  <c r="L25" i="7"/>
  <c r="D25" i="7"/>
  <c r="L24" i="7"/>
  <c r="D24" i="7"/>
  <c r="D28" i="7" s="1"/>
  <c r="L23" i="7"/>
  <c r="L22" i="7"/>
  <c r="L21" i="7"/>
  <c r="D21" i="7"/>
  <c r="L20" i="7"/>
  <c r="D20" i="7"/>
  <c r="D22" i="7" s="1"/>
  <c r="B20" i="7"/>
  <c r="L19" i="7"/>
  <c r="D19" i="7"/>
  <c r="L18" i="7"/>
  <c r="L17" i="7"/>
  <c r="L16" i="7"/>
  <c r="D16" i="7"/>
  <c r="D17" i="7" s="1"/>
  <c r="L15" i="7"/>
  <c r="L14" i="7"/>
  <c r="L13" i="7"/>
  <c r="L12" i="7"/>
  <c r="L11" i="7"/>
  <c r="L10" i="7"/>
  <c r="L9" i="7"/>
  <c r="G11" i="6"/>
  <c r="E35" i="5"/>
  <c r="G34" i="5"/>
  <c r="E34" i="5"/>
  <c r="D33" i="5"/>
  <c r="K27" i="5"/>
  <c r="F27" i="5"/>
  <c r="C27" i="5"/>
  <c r="O25" i="5"/>
  <c r="K25" i="5"/>
  <c r="G25" i="5"/>
  <c r="I25" i="5" s="1"/>
  <c r="J25" i="5" s="1"/>
  <c r="L25" i="5" s="1"/>
  <c r="E25" i="5"/>
  <c r="O24" i="5"/>
  <c r="K24" i="5"/>
  <c r="J24" i="5"/>
  <c r="L24" i="5" s="1"/>
  <c r="I24" i="5"/>
  <c r="G24" i="5"/>
  <c r="E24" i="5"/>
  <c r="K23" i="5"/>
  <c r="I23" i="5"/>
  <c r="J23" i="5" s="1"/>
  <c r="L23" i="5" s="1"/>
  <c r="G23" i="5"/>
  <c r="E23" i="5"/>
  <c r="K22" i="5"/>
  <c r="G22" i="5"/>
  <c r="I22" i="5" s="1"/>
  <c r="J22" i="5" s="1"/>
  <c r="L22" i="5" s="1"/>
  <c r="E22" i="5"/>
  <c r="K21" i="5"/>
  <c r="C6" i="5"/>
  <c r="C10" i="5" s="1"/>
  <c r="K34" i="4"/>
  <c r="K33" i="4"/>
  <c r="O23" i="4"/>
  <c r="M23" i="4"/>
  <c r="B23" i="4"/>
  <c r="B7" i="7"/>
  <c r="Q15" i="4"/>
  <c r="Y15" i="4" s="1"/>
  <c r="O15" i="4"/>
  <c r="V15" i="4" s="1"/>
  <c r="M15" i="4"/>
  <c r="C15" i="4"/>
  <c r="M14" i="4"/>
  <c r="Q14" i="4" s="1"/>
  <c r="Y14" i="4" s="1"/>
  <c r="M13" i="4"/>
  <c r="Q13" i="4" s="1"/>
  <c r="Y13" i="4" s="1"/>
  <c r="M11" i="4"/>
  <c r="Q11" i="4" s="1"/>
  <c r="Y11" i="4" s="1"/>
  <c r="M10" i="4"/>
  <c r="Q10" i="4" s="1"/>
  <c r="Y10" i="4" s="1"/>
  <c r="M9" i="4"/>
  <c r="Q9" i="4" s="1"/>
  <c r="Y9" i="4" s="1"/>
  <c r="Q8" i="4"/>
  <c r="Y8" i="4" s="1"/>
  <c r="O8" i="4"/>
  <c r="R8" i="4" s="1"/>
  <c r="M8" i="4"/>
  <c r="M7" i="4"/>
  <c r="Q7" i="4" s="1"/>
  <c r="Y7" i="4" s="1"/>
  <c r="M6" i="4"/>
  <c r="O6" i="4" s="1"/>
  <c r="M5" i="4"/>
  <c r="Q5" i="4" s="1"/>
  <c r="Y5" i="4" s="1"/>
  <c r="M4" i="4"/>
  <c r="O4" i="4" s="1"/>
  <c r="AG29" i="3"/>
  <c r="AF29" i="3"/>
  <c r="AD29" i="3"/>
  <c r="AC29" i="3"/>
  <c r="Y29" i="3"/>
  <c r="R29" i="3"/>
  <c r="W29" i="3" s="1"/>
  <c r="F29" i="3"/>
  <c r="K29" i="3" s="1"/>
  <c r="L29" i="3" s="1"/>
  <c r="M29" i="3" s="1"/>
  <c r="D29" i="3"/>
  <c r="C29" i="3"/>
  <c r="AG28" i="3"/>
  <c r="AF28" i="3"/>
  <c r="AD28" i="3"/>
  <c r="AC28" i="3"/>
  <c r="Y28" i="3"/>
  <c r="S28" i="3"/>
  <c r="R28" i="3"/>
  <c r="Z28" i="3" s="1"/>
  <c r="AA28" i="3" s="1"/>
  <c r="L28" i="3"/>
  <c r="M28" i="3" s="1"/>
  <c r="K28" i="3"/>
  <c r="F28" i="3"/>
  <c r="I28" i="3" s="1"/>
  <c r="J28" i="3" s="1"/>
  <c r="D28" i="3"/>
  <c r="C28" i="3"/>
  <c r="AG27" i="3"/>
  <c r="AF27" i="3"/>
  <c r="Y27" i="3"/>
  <c r="S27" i="3"/>
  <c r="R27" i="3"/>
  <c r="W27" i="3" s="1"/>
  <c r="J27" i="3"/>
  <c r="N27" i="3" s="1"/>
  <c r="P27" i="3" s="1"/>
  <c r="I27" i="3"/>
  <c r="F27" i="3"/>
  <c r="K27" i="3" s="1"/>
  <c r="L27" i="3" s="1"/>
  <c r="M27" i="3" s="1"/>
  <c r="D27" i="3"/>
  <c r="C27" i="3"/>
  <c r="AG17" i="3"/>
  <c r="AF17" i="3"/>
  <c r="AD17" i="3"/>
  <c r="AC17" i="3"/>
  <c r="Y17" i="3"/>
  <c r="Q17" i="3"/>
  <c r="M17" i="3"/>
  <c r="L17" i="3"/>
  <c r="P17" i="3" s="1"/>
  <c r="E17" i="3"/>
  <c r="C17" i="3"/>
  <c r="AG16" i="3"/>
  <c r="AF16" i="3"/>
  <c r="AD16" i="3"/>
  <c r="AC16" i="3"/>
  <c r="Y16" i="3"/>
  <c r="Q16" i="3"/>
  <c r="M16" i="3"/>
  <c r="E16" i="3"/>
  <c r="C16" i="3"/>
  <c r="L16" i="3" s="1"/>
  <c r="AG15" i="3"/>
  <c r="AF15" i="3"/>
  <c r="AD15" i="3"/>
  <c r="AC15" i="3"/>
  <c r="Y15" i="3"/>
  <c r="Q15" i="3"/>
  <c r="M15" i="3"/>
  <c r="P15" i="3" s="1"/>
  <c r="L15" i="3"/>
  <c r="E15" i="3"/>
  <c r="C15" i="3"/>
  <c r="AG14" i="3"/>
  <c r="AF14" i="3"/>
  <c r="Y14" i="3"/>
  <c r="Q14" i="3"/>
  <c r="O14" i="3"/>
  <c r="AC14" i="3" s="1"/>
  <c r="M14" i="3"/>
  <c r="P14" i="3" s="1"/>
  <c r="E14" i="3"/>
  <c r="C14" i="3"/>
  <c r="L14" i="3" s="1"/>
  <c r="AG13" i="3"/>
  <c r="AF13" i="3"/>
  <c r="AD13" i="3"/>
  <c r="AC13" i="3"/>
  <c r="Z13" i="3"/>
  <c r="Q13" i="3"/>
  <c r="M13" i="3"/>
  <c r="L13" i="3"/>
  <c r="P13" i="3" s="1"/>
  <c r="E13" i="3"/>
  <c r="C13" i="3"/>
  <c r="M20" i="2"/>
  <c r="S29" i="3" s="1"/>
  <c r="L20" i="2"/>
  <c r="M19" i="2"/>
  <c r="L19" i="2"/>
  <c r="M18" i="2"/>
  <c r="L18" i="2"/>
  <c r="A15" i="2"/>
  <c r="A14" i="2"/>
  <c r="A13" i="2"/>
  <c r="A12" i="2"/>
  <c r="A11" i="2"/>
  <c r="O10" i="2"/>
  <c r="J10" i="2"/>
  <c r="A10" i="2"/>
  <c r="Z29" i="3" s="1"/>
  <c r="AA29" i="3" s="1"/>
  <c r="O9" i="2"/>
  <c r="J9" i="2"/>
  <c r="A9" i="2"/>
  <c r="O8" i="2"/>
  <c r="J8" i="2"/>
  <c r="A8" i="2"/>
  <c r="O7" i="2"/>
  <c r="J7" i="2"/>
  <c r="A7" i="2"/>
  <c r="G62" i="1"/>
  <c r="G59" i="1"/>
  <c r="G56" i="1"/>
  <c r="G55" i="1"/>
  <c r="G53" i="1"/>
  <c r="G50" i="1"/>
  <c r="G47" i="1"/>
  <c r="G45" i="1"/>
  <c r="G43" i="1"/>
  <c r="G42" i="1"/>
  <c r="G41" i="1"/>
  <c r="G39" i="1"/>
  <c r="G38" i="1"/>
  <c r="G37" i="1"/>
  <c r="G36" i="1"/>
  <c r="G35" i="1"/>
  <c r="G31" i="1"/>
  <c r="G30" i="1"/>
  <c r="G27" i="1"/>
  <c r="G26" i="1"/>
  <c r="G25" i="1"/>
  <c r="G24" i="1"/>
  <c r="G23" i="1"/>
  <c r="G21" i="1"/>
  <c r="G18" i="1"/>
  <c r="G13" i="1"/>
  <c r="G12" i="1"/>
  <c r="G8" i="1"/>
  <c r="G7" i="1"/>
  <c r="V8" i="4" l="1"/>
  <c r="O5" i="4"/>
  <c r="V5" i="4" s="1"/>
  <c r="X15" i="4"/>
  <c r="O13" i="4"/>
  <c r="Z13" i="4" s="1"/>
  <c r="O12" i="4"/>
  <c r="S12" i="4" s="1"/>
  <c r="Q12" i="4"/>
  <c r="Y12" i="4" s="1"/>
  <c r="M22" i="4"/>
  <c r="O24" i="4"/>
  <c r="K17" i="4"/>
  <c r="K18" i="4" s="1"/>
  <c r="B15" i="4"/>
  <c r="O11" i="4"/>
  <c r="U11" i="4" s="1"/>
  <c r="O9" i="4"/>
  <c r="U9" i="4" s="1"/>
  <c r="S8" i="4"/>
  <c r="T8" i="4"/>
  <c r="U8" i="4"/>
  <c r="W8" i="4"/>
  <c r="Z8" i="4"/>
  <c r="Q4" i="4"/>
  <c r="Y4" i="4" s="1"/>
  <c r="H24" i="5"/>
  <c r="M24" i="5" s="1"/>
  <c r="N24" i="5" s="1"/>
  <c r="H22" i="5"/>
  <c r="M22" i="5" s="1"/>
  <c r="N22" i="5" s="1"/>
  <c r="W4" i="4"/>
  <c r="V4" i="4"/>
  <c r="U4" i="4"/>
  <c r="T4" i="4"/>
  <c r="S4" i="4"/>
  <c r="R4" i="4"/>
  <c r="AA4" i="4"/>
  <c r="Z4" i="4"/>
  <c r="X4" i="4"/>
  <c r="H25" i="5"/>
  <c r="M25" i="5" s="1"/>
  <c r="N25" i="5" s="1"/>
  <c r="C7" i="7"/>
  <c r="G10" i="7"/>
  <c r="H23" i="5"/>
  <c r="M23" i="5" s="1"/>
  <c r="N23" i="5" s="1"/>
  <c r="N28" i="3"/>
  <c r="P28" i="3" s="1"/>
  <c r="O16" i="3"/>
  <c r="P16" i="3"/>
  <c r="U6" i="4"/>
  <c r="T6" i="4"/>
  <c r="S6" i="4"/>
  <c r="R6" i="4"/>
  <c r="AA6" i="4"/>
  <c r="Z6" i="4"/>
  <c r="W6" i="4"/>
  <c r="X6" i="4"/>
  <c r="V6" i="4"/>
  <c r="V14" i="3"/>
  <c r="AD14" i="3"/>
  <c r="W15" i="4"/>
  <c r="O14" i="4"/>
  <c r="O23" i="5"/>
  <c r="AC27" i="3"/>
  <c r="R13" i="4"/>
  <c r="Z15" i="4"/>
  <c r="S14" i="3"/>
  <c r="AD27" i="3"/>
  <c r="X8" i="4"/>
  <c r="S13" i="4"/>
  <c r="AA15" i="4"/>
  <c r="Z27" i="3"/>
  <c r="AA27" i="3" s="1"/>
  <c r="U29" i="3"/>
  <c r="O22" i="5"/>
  <c r="U14" i="3"/>
  <c r="W14" i="3"/>
  <c r="O15" i="3"/>
  <c r="O17" i="3"/>
  <c r="U28" i="3"/>
  <c r="Q6" i="4"/>
  <c r="Y6" i="4" s="1"/>
  <c r="O7" i="4"/>
  <c r="AA8" i="4"/>
  <c r="W12" i="4"/>
  <c r="V13" i="4"/>
  <c r="R15" i="4"/>
  <c r="V29" i="3"/>
  <c r="O13" i="3"/>
  <c r="V28" i="3"/>
  <c r="I29" i="3"/>
  <c r="J29" i="3" s="1"/>
  <c r="N29" i="3" s="1"/>
  <c r="P29" i="3" s="1"/>
  <c r="X12" i="4"/>
  <c r="W13" i="4"/>
  <c r="S15" i="4"/>
  <c r="U13" i="4"/>
  <c r="Z14" i="3"/>
  <c r="AA14" i="3" s="1"/>
  <c r="U27" i="3"/>
  <c r="W28" i="3"/>
  <c r="T15" i="4"/>
  <c r="V27" i="3"/>
  <c r="O10" i="4"/>
  <c r="Z12" i="4"/>
  <c r="U15" i="4"/>
  <c r="T13" i="4" l="1"/>
  <c r="V9" i="4"/>
  <c r="AA9" i="4"/>
  <c r="W9" i="4"/>
  <c r="Z9" i="4"/>
  <c r="W5" i="4"/>
  <c r="X5" i="4"/>
  <c r="Z5" i="4"/>
  <c r="AA5" i="4"/>
  <c r="U5" i="4"/>
  <c r="S5" i="4"/>
  <c r="R5" i="4"/>
  <c r="T5" i="4"/>
  <c r="X13" i="4"/>
  <c r="AA13" i="4"/>
  <c r="B16" i="4"/>
  <c r="D16" i="4" s="1"/>
  <c r="AA12" i="4"/>
  <c r="V12" i="4"/>
  <c r="U12" i="4"/>
  <c r="T12" i="4"/>
  <c r="R12" i="4"/>
  <c r="AA11" i="4"/>
  <c r="V11" i="4"/>
  <c r="Z11" i="4"/>
  <c r="R11" i="4"/>
  <c r="W11" i="4"/>
  <c r="S11" i="4"/>
  <c r="X11" i="4"/>
  <c r="T11" i="4"/>
  <c r="O18" i="4"/>
  <c r="R9" i="4"/>
  <c r="S9" i="4"/>
  <c r="X9" i="4"/>
  <c r="T9" i="4"/>
  <c r="Y18" i="4"/>
  <c r="Y17" i="4"/>
  <c r="U13" i="3"/>
  <c r="W13" i="3"/>
  <c r="S13" i="3"/>
  <c r="Y13" i="3"/>
  <c r="AA13" i="3" s="1"/>
  <c r="V13" i="3"/>
  <c r="U15" i="3"/>
  <c r="W15" i="3"/>
  <c r="S15" i="3"/>
  <c r="Z15" i="3"/>
  <c r="AA15" i="3" s="1"/>
  <c r="V15" i="3"/>
  <c r="X14" i="4"/>
  <c r="W14" i="4"/>
  <c r="T14" i="4"/>
  <c r="V14" i="4"/>
  <c r="U14" i="4"/>
  <c r="S14" i="4"/>
  <c r="R14" i="4"/>
  <c r="AA14" i="4"/>
  <c r="Z14" i="4"/>
  <c r="AA10" i="4"/>
  <c r="Z10" i="4"/>
  <c r="X10" i="4"/>
  <c r="W10" i="4"/>
  <c r="V10" i="4"/>
  <c r="U10" i="4"/>
  <c r="S10" i="4"/>
  <c r="T10" i="4"/>
  <c r="R10" i="4"/>
  <c r="T7" i="4"/>
  <c r="S7" i="4"/>
  <c r="R7" i="4"/>
  <c r="AA7" i="4"/>
  <c r="Z7" i="4"/>
  <c r="X7" i="4"/>
  <c r="W7" i="4"/>
  <c r="V7" i="4"/>
  <c r="U7" i="4"/>
  <c r="U17" i="3"/>
  <c r="S17" i="3"/>
  <c r="W17" i="3"/>
  <c r="Z17" i="3"/>
  <c r="AA17" i="3" s="1"/>
  <c r="V17" i="3"/>
  <c r="V16" i="3"/>
  <c r="U16" i="3"/>
  <c r="Z16" i="3"/>
  <c r="AA16" i="3" s="1"/>
  <c r="W16" i="3"/>
  <c r="S16" i="3"/>
  <c r="J10" i="7"/>
  <c r="H10" i="7"/>
  <c r="G11" i="7"/>
  <c r="U18" i="4" l="1"/>
  <c r="G21" i="5"/>
  <c r="V18" i="4"/>
  <c r="W17" i="4"/>
  <c r="W18" i="4"/>
  <c r="R17" i="4"/>
  <c r="AA17" i="4"/>
  <c r="X18" i="4"/>
  <c r="X17" i="4"/>
  <c r="S18" i="4"/>
  <c r="T18" i="4"/>
  <c r="U17" i="4"/>
  <c r="R18" i="4"/>
  <c r="Z18" i="4"/>
  <c r="D21" i="5"/>
  <c r="E21" i="5" s="1"/>
  <c r="E16" i="4"/>
  <c r="H9" i="8"/>
  <c r="G27" i="5"/>
  <c r="I27" i="5" s="1"/>
  <c r="J27" i="5" s="1"/>
  <c r="L27" i="5" s="1"/>
  <c r="C34" i="5" s="1"/>
  <c r="I21" i="5"/>
  <c r="J21" i="5" s="1"/>
  <c r="L21" i="5" s="1"/>
  <c r="Z17" i="4"/>
  <c r="AA18" i="4"/>
  <c r="G12" i="7"/>
  <c r="H11" i="7"/>
  <c r="J11" i="7"/>
  <c r="T17" i="4"/>
  <c r="V17" i="4"/>
  <c r="S17" i="4"/>
  <c r="O21" i="5" l="1"/>
  <c r="O27" i="5" s="1"/>
  <c r="D36" i="5" s="1"/>
  <c r="E27" i="5"/>
  <c r="H21" i="5"/>
  <c r="G13" i="7"/>
  <c r="J12" i="7"/>
  <c r="H12" i="7"/>
  <c r="M21" i="5" l="1"/>
  <c r="N21" i="5" s="1"/>
  <c r="H27" i="5"/>
  <c r="H13" i="7"/>
  <c r="G14" i="7"/>
  <c r="J13" i="7"/>
  <c r="M27" i="5" l="1"/>
  <c r="C33" i="5"/>
  <c r="G15" i="7"/>
  <c r="J14" i="7"/>
  <c r="H14" i="7"/>
  <c r="P7" i="5" l="1"/>
  <c r="F8" i="6"/>
  <c r="G28" i="6" s="1"/>
  <c r="K21" i="8" s="1"/>
  <c r="K22" i="8" s="1"/>
  <c r="K23" i="8" s="1"/>
  <c r="P10" i="5"/>
  <c r="D35" i="5"/>
  <c r="F35" i="5" s="1"/>
  <c r="N27" i="5"/>
  <c r="J15" i="7"/>
  <c r="H15" i="7"/>
  <c r="G16" i="7"/>
  <c r="J11" i="6" l="1"/>
  <c r="I37" i="8" s="1"/>
  <c r="J8" i="6"/>
  <c r="J13" i="8"/>
  <c r="F10" i="6"/>
  <c r="F9" i="6"/>
  <c r="G8" i="6"/>
  <c r="H8" i="8"/>
  <c r="K8" i="8" s="1"/>
  <c r="J3" i="6"/>
  <c r="K9" i="8"/>
  <c r="G17" i="7"/>
  <c r="J16" i="7"/>
  <c r="H16" i="7"/>
  <c r="J16" i="8" l="1"/>
  <c r="F17" i="6"/>
  <c r="G10" i="6"/>
  <c r="G9" i="6"/>
  <c r="J15" i="8"/>
  <c r="B8" i="7"/>
  <c r="J17" i="7"/>
  <c r="H17" i="7"/>
  <c r="G18" i="7"/>
  <c r="G14" i="6" l="1"/>
  <c r="G15" i="6" s="1"/>
  <c r="D7" i="7"/>
  <c r="K6" i="7"/>
  <c r="C8" i="7"/>
  <c r="B11" i="7" s="1"/>
  <c r="G17" i="6"/>
  <c r="G19" i="6" s="1"/>
  <c r="J18" i="8"/>
  <c r="G19" i="7"/>
  <c r="J18" i="7"/>
  <c r="H18" i="7"/>
  <c r="G21" i="6" l="1"/>
  <c r="G23" i="6" s="1"/>
  <c r="L6" i="7"/>
  <c r="I30" i="7"/>
  <c r="I13" i="7"/>
  <c r="I17" i="7"/>
  <c r="I14" i="7"/>
  <c r="I33" i="7"/>
  <c r="I22" i="7"/>
  <c r="I20" i="7"/>
  <c r="I25" i="7"/>
  <c r="I19" i="7"/>
  <c r="I29" i="7"/>
  <c r="I24" i="7"/>
  <c r="I32" i="7"/>
  <c r="I12" i="7"/>
  <c r="I11" i="7"/>
  <c r="I31" i="7"/>
  <c r="I15" i="7"/>
  <c r="I27" i="7"/>
  <c r="I26" i="7"/>
  <c r="I18" i="7"/>
  <c r="I21" i="7"/>
  <c r="I34" i="7"/>
  <c r="I16" i="7"/>
  <c r="I28" i="7"/>
  <c r="I23" i="7"/>
  <c r="I10" i="7"/>
  <c r="J9" i="7" s="1"/>
  <c r="B10" i="7"/>
  <c r="J29" i="8"/>
  <c r="J19" i="7"/>
  <c r="H19" i="7"/>
  <c r="G20" i="7"/>
  <c r="G22" i="6" l="1"/>
  <c r="J4" i="6"/>
  <c r="K3" i="6" s="1"/>
  <c r="G26" i="6"/>
  <c r="G21" i="7"/>
  <c r="J20" i="7"/>
  <c r="H20" i="7"/>
  <c r="J21" i="7" l="1"/>
  <c r="H21" i="7"/>
  <c r="G22" i="7"/>
  <c r="G23" i="7" l="1"/>
  <c r="J22" i="7"/>
  <c r="H22" i="7"/>
  <c r="J23" i="7" l="1"/>
  <c r="H23" i="7"/>
  <c r="G24" i="7"/>
  <c r="G25" i="7" l="1"/>
  <c r="J24" i="7"/>
  <c r="H24" i="7"/>
  <c r="J25" i="7" l="1"/>
  <c r="H25" i="7"/>
  <c r="G26" i="7"/>
  <c r="G27" i="7" l="1"/>
  <c r="J26" i="7"/>
  <c r="H26" i="7"/>
  <c r="J27" i="7" l="1"/>
  <c r="H27" i="7"/>
  <c r="G28" i="7"/>
  <c r="G29" i="7" l="1"/>
  <c r="J28" i="7"/>
  <c r="H28" i="7"/>
  <c r="G30" i="7" l="1"/>
  <c r="J29" i="7"/>
  <c r="H29" i="7"/>
  <c r="G31" i="7" l="1"/>
  <c r="J30" i="7"/>
  <c r="H30" i="7"/>
  <c r="G32" i="7" l="1"/>
  <c r="J31" i="7"/>
  <c r="H31" i="7"/>
  <c r="H32" i="7" l="1"/>
  <c r="G33" i="7"/>
  <c r="J32" i="7"/>
  <c r="G34" i="7" l="1"/>
  <c r="J33" i="7"/>
  <c r="H33" i="7"/>
  <c r="J34" i="7" l="1"/>
  <c r="K8" i="7" s="1"/>
  <c r="H34" i="7"/>
  <c r="F21" i="8" l="1"/>
  <c r="F22" i="8"/>
  <c r="F23"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redes</author>
  </authors>
  <commentList>
    <comment ref="C9" authorId="0" shapeId="0" xr:uid="{00000000-0006-0000-0400-000001000000}">
      <text>
        <r>
          <rPr>
            <sz val="10"/>
            <rFont val="Arial"/>
            <family val="2"/>
          </rPr>
          <t>redes:
DEPENDE DE LAS CARACTERISTICAS DEL MODULO A INSTALAR</t>
        </r>
      </text>
    </comment>
    <comment ref="C11" authorId="0" shapeId="0" xr:uid="{00000000-0006-0000-0400-000002000000}">
      <text>
        <r>
          <rPr>
            <sz val="10"/>
            <rFont val="Arial"/>
            <family val="2"/>
          </rPr>
          <t>redes:
DEPENDE DE LAS CARACTERISTICAS DE LAS BATERIAS</t>
        </r>
      </text>
    </comment>
    <comment ref="C12" authorId="0" shapeId="0" xr:uid="{00000000-0006-0000-0400-000003000000}">
      <text>
        <r>
          <rPr>
            <sz val="10"/>
            <rFont val="Arial"/>
            <family val="2"/>
          </rPr>
          <t>redes:
DEPENDE DE LAS CARACTERISTICAS DE LAS BATERIAS</t>
        </r>
      </text>
    </comment>
  </commentList>
</comments>
</file>

<file path=xl/sharedStrings.xml><?xml version="1.0" encoding="utf-8"?>
<sst xmlns="http://schemas.openxmlformats.org/spreadsheetml/2006/main" count="573" uniqueCount="373">
  <si>
    <t>Tabla A-1. Insolación global media inclinacíon a a latitud en México en kWh/m2-Día</t>
  </si>
  <si>
    <t>Fuentes: Actualizacion de los Mapas de Irradiacion Global solar en la Republica Mexicana (R. Almanza S. ,E. Cajigal R., J. Barrientos A. 1997)</t>
  </si>
  <si>
    <t>Reportes de insolación de México. Southwest Technology Development Institute, NMSU, 1999</t>
  </si>
  <si>
    <t>Part.</t>
  </si>
  <si>
    <t>Estado</t>
  </si>
  <si>
    <t>Ciudad</t>
  </si>
  <si>
    <t>Min,</t>
  </si>
  <si>
    <t>Max.</t>
  </si>
  <si>
    <t>Med.</t>
  </si>
  <si>
    <t>Med./Edo</t>
  </si>
  <si>
    <t>Aguascalientes</t>
  </si>
  <si>
    <t xml:space="preserve"> Aguascalientes</t>
  </si>
  <si>
    <t>Baja California</t>
  </si>
  <si>
    <t>California</t>
  </si>
  <si>
    <t>Mexicali</t>
  </si>
  <si>
    <t>San Javier</t>
  </si>
  <si>
    <t>S. José del Cabo</t>
  </si>
  <si>
    <t>Campeche</t>
  </si>
  <si>
    <t>Chiapas</t>
  </si>
  <si>
    <t>Arriaga</t>
  </si>
  <si>
    <t>Juan Aldama</t>
  </si>
  <si>
    <t>San Cristóbal</t>
  </si>
  <si>
    <t>Tapachula</t>
  </si>
  <si>
    <t>Tuxtla Gutiérrez</t>
  </si>
  <si>
    <t>Chihuahua</t>
  </si>
  <si>
    <t>Guachochi</t>
  </si>
  <si>
    <t>Cd. Juárez</t>
  </si>
  <si>
    <t>Coahuila</t>
  </si>
  <si>
    <t>Piedras Negras</t>
  </si>
  <si>
    <t>Saltillo</t>
  </si>
  <si>
    <t>Colima</t>
  </si>
  <si>
    <t>D.F.</t>
  </si>
  <si>
    <t>Tacubaya</t>
  </si>
  <si>
    <t>Durango</t>
  </si>
  <si>
    <t>Guanajuato</t>
  </si>
  <si>
    <t>Guerrero</t>
  </si>
  <si>
    <t>Acapulco</t>
  </si>
  <si>
    <t>Aguas Blancas</t>
  </si>
  <si>
    <t>Chilpancingo</t>
  </si>
  <si>
    <t>Hidalgo</t>
  </si>
  <si>
    <t>Pachuca</t>
  </si>
  <si>
    <t>Jalisco</t>
  </si>
  <si>
    <t>Colotlán</t>
  </si>
  <si>
    <t>Guadalajara</t>
  </si>
  <si>
    <t>L. de Moreno</t>
  </si>
  <si>
    <t>Puerto Vallarta</t>
  </si>
  <si>
    <t>México</t>
  </si>
  <si>
    <t>Chapingo</t>
  </si>
  <si>
    <t>Michoacán</t>
  </si>
  <si>
    <t>Morelia</t>
  </si>
  <si>
    <t>Nayarit</t>
  </si>
  <si>
    <t>Tepic</t>
  </si>
  <si>
    <t>Nuevo Leon</t>
  </si>
  <si>
    <t>Monterrey</t>
  </si>
  <si>
    <t>Oaxaca</t>
  </si>
  <si>
    <t>Salina Cruz</t>
  </si>
  <si>
    <t>Puebla</t>
  </si>
  <si>
    <t>Querétaro</t>
  </si>
  <si>
    <t>QuintanaRoo</t>
  </si>
  <si>
    <t>Chetumal</t>
  </si>
  <si>
    <t>Cozumel</t>
  </si>
  <si>
    <t>San Luis Potosí</t>
  </si>
  <si>
    <t>Río Verde</t>
  </si>
  <si>
    <t>Sinaloa</t>
  </si>
  <si>
    <t>Culiacán</t>
  </si>
  <si>
    <t>Los Mochis</t>
  </si>
  <si>
    <t>Mazatlan</t>
  </si>
  <si>
    <t>Sonora</t>
  </si>
  <si>
    <t>Ciudad Obregón</t>
  </si>
  <si>
    <t>Guaymas</t>
  </si>
  <si>
    <t>Hermosillo</t>
  </si>
  <si>
    <t>Tamaulipas</t>
  </si>
  <si>
    <t>Soto la Marina</t>
  </si>
  <si>
    <t>Tampico</t>
  </si>
  <si>
    <t>Tlaxcala</t>
  </si>
  <si>
    <t>Veracruz</t>
  </si>
  <si>
    <t>Córdoba</t>
  </si>
  <si>
    <t>Jalapa</t>
  </si>
  <si>
    <t>Yucatán</t>
  </si>
  <si>
    <t>Mérida</t>
  </si>
  <si>
    <t>Progreso</t>
  </si>
  <si>
    <t>Valladolid</t>
  </si>
  <si>
    <t>Zacatecas</t>
  </si>
  <si>
    <t>KIT DE PUESTA A TIERRA</t>
  </si>
  <si>
    <t>ACOPLADOR DE MASAS</t>
  </si>
  <si>
    <t>BARRA DE TIERRAS</t>
  </si>
  <si>
    <t>CAPACIDAD</t>
  </si>
  <si>
    <t>MODELO</t>
  </si>
  <si>
    <t>PROF.</t>
  </si>
  <si>
    <t>LADO 1</t>
  </si>
  <si>
    <t>LADO 2</t>
  </si>
  <si>
    <t>D&gt;30</t>
  </si>
  <si>
    <t>D&lt;31</t>
  </si>
  <si>
    <t>GABINETE</t>
  </si>
  <si>
    <t>TG-45K</t>
  </si>
  <si>
    <t>TGC01</t>
  </si>
  <si>
    <t>20 x 30 x 12</t>
  </si>
  <si>
    <t>TGBUE10</t>
  </si>
  <si>
    <t>TG-70K</t>
  </si>
  <si>
    <t>TGC02</t>
  </si>
  <si>
    <t>TGBUE11</t>
  </si>
  <si>
    <t>TG-100K</t>
  </si>
  <si>
    <t>TGC04</t>
  </si>
  <si>
    <t>40 x 30 x 20</t>
  </si>
  <si>
    <t>TGBUE12</t>
  </si>
  <si>
    <t>TG-400K</t>
  </si>
  <si>
    <t>2/0</t>
  </si>
  <si>
    <t>TG-700K</t>
  </si>
  <si>
    <t>TG-1000K</t>
  </si>
  <si>
    <t>TG-1500K</t>
  </si>
  <si>
    <t>TG-2500K</t>
  </si>
  <si>
    <t>TG-5000K</t>
  </si>
  <si>
    <t>Voltajes</t>
  </si>
  <si>
    <t>Fp</t>
  </si>
  <si>
    <t>FU</t>
  </si>
  <si>
    <t>Fases</t>
  </si>
  <si>
    <t>DESCRIPCION</t>
  </si>
  <si>
    <t>TIPO DE PUNTA</t>
  </si>
  <si>
    <t>ELECTRODO</t>
  </si>
  <si>
    <t>AREA DE PROTECCION</t>
  </si>
  <si>
    <t>CABLE CAL.</t>
  </si>
  <si>
    <t>Zonas de alto impacto o de alto costo de equipo</t>
  </si>
  <si>
    <t>KDA 05</t>
  </si>
  <si>
    <t>Zona de mediano nivel de riesgo</t>
  </si>
  <si>
    <t>KDA 01</t>
  </si>
  <si>
    <t>Zona de bajo nivel de riesgo</t>
  </si>
  <si>
    <t>KDA LU</t>
  </si>
  <si>
    <t>Solución 1 KDA 05</t>
  </si>
  <si>
    <t>* Punta tipo ionizante de acero inoxidable.</t>
  </si>
  <si>
    <t>* Acoplador de impedancias TGCG04</t>
  </si>
  <si>
    <t>* Compuesto H2OHM</t>
  </si>
  <si>
    <t>* Brújula y nivel</t>
  </si>
  <si>
    <t>* Electrodo de cobre modelo T-1000</t>
  </si>
  <si>
    <t>* Área de protección de 150 mts. de radio</t>
  </si>
  <si>
    <t>* Menos de 2 Ohms de resistencia a tierra</t>
  </si>
  <si>
    <t>TIPOS DE SOLUCIONES</t>
  </si>
  <si>
    <t>Solución 2 KDA 01</t>
  </si>
  <si>
    <t>* Punta tipo ionizante de acero inoxidable</t>
  </si>
  <si>
    <t>* Acoplador de impedancias TGCG01</t>
  </si>
  <si>
    <t>* Electrodo de cobre modelo TG100</t>
  </si>
  <si>
    <t>* Área de protección de 80 mts . de radio</t>
  </si>
  <si>
    <t>Solución 3 KDA LU</t>
  </si>
  <si>
    <t>* Incluye punta tripolo de aluminio</t>
  </si>
  <si>
    <t>* Electrodo de cobre modelo TG45AB</t>
  </si>
  <si>
    <t>* Área de protección de 40 mts . de radio</t>
  </si>
  <si>
    <t>CALCULO DE ELECTRODOS DE PUESTA A TIERRA (TOTAL GROUND)</t>
  </si>
  <si>
    <t>PART.</t>
  </si>
  <si>
    <t>CARGA</t>
  </si>
  <si>
    <t>ELECTRODOS</t>
  </si>
  <si>
    <t>PREPARACION DE LA EXCAVACION</t>
  </si>
  <si>
    <t>CALIBRE DEL CONDUCTOR A UTILIZAR</t>
  </si>
  <si>
    <t xml:space="preserve">ACOPLADOR </t>
  </si>
  <si>
    <t>VOLTS SEC.</t>
  </si>
  <si>
    <t>I</t>
  </si>
  <si>
    <t>No. Fases</t>
  </si>
  <si>
    <t>KIT DE PUESTA A TIERRAS</t>
  </si>
  <si>
    <t>CANT.</t>
  </si>
  <si>
    <t>FP</t>
  </si>
  <si>
    <t>KVA</t>
  </si>
  <si>
    <t>KW</t>
  </si>
  <si>
    <t>DIST.</t>
  </si>
  <si>
    <t>CALIBRE</t>
  </si>
  <si>
    <t>CAP.</t>
  </si>
  <si>
    <t>( V )</t>
  </si>
  <si>
    <t>Amp.</t>
  </si>
  <si>
    <t>PZA</t>
  </si>
  <si>
    <t>MTS</t>
  </si>
  <si>
    <t>AWG / KCM</t>
  </si>
  <si>
    <t>AMP.</t>
  </si>
  <si>
    <t>TRANSFORMADOR</t>
  </si>
  <si>
    <t>TABLERO</t>
  </si>
  <si>
    <t>UPS</t>
  </si>
  <si>
    <t>SELECCIÓN DE PARARRAYOS (TOTAL GROUND)</t>
  </si>
  <si>
    <t>SELECCIÓN</t>
  </si>
  <si>
    <t>PARARRAYOS</t>
  </si>
  <si>
    <t>CALIBRE DELCONDUCTOR A UTILIZAR</t>
  </si>
  <si>
    <t>RADIO DE PROTEC.</t>
  </si>
  <si>
    <t>AREA A PROTEGER</t>
  </si>
  <si>
    <t>D&lt;30</t>
  </si>
  <si>
    <t>LARGO</t>
  </si>
  <si>
    <t>ANCHO</t>
  </si>
  <si>
    <t>cant.</t>
  </si>
  <si>
    <t>columnas</t>
  </si>
  <si>
    <t>filas</t>
  </si>
  <si>
    <t>INSERTA EL CONSUMO MENSUAL EN CADA CASILLA. EVITA INGRESAR CONSUMOS MUY BAJOS CON RESPECTO AL PROMEDIO. EN ALGUNAS OCASIONES EL PRECIO PROMEDIO VIENE ESPECIFICADO, SI NO, DIVIDE EL PAGO DEL MES EN EL RESPECTIVO CONSUMO PARA OBTENER EL COSTO PROMEDIO X KW.</t>
  </si>
  <si>
    <t>PROMEDIO CONSUMO MENSUAL ANUAL CFE DAP40 DAP50</t>
  </si>
  <si>
    <t>MES</t>
  </si>
  <si>
    <t>CONSUMOS (KW)</t>
  </si>
  <si>
    <t>PRECIO PROMEDIO</t>
  </si>
  <si>
    <t>% Producción de Energía</t>
  </si>
  <si>
    <t xml:space="preserve">Consumo CFE </t>
  </si>
  <si>
    <t>CONSUMO TOTAL kWh</t>
  </si>
  <si>
    <t>PRECIO MEDIO (MXN)</t>
  </si>
  <si>
    <t>SUBTOTAL</t>
  </si>
  <si>
    <t xml:space="preserve">IVA 16% </t>
  </si>
  <si>
    <t>DAP 39</t>
  </si>
  <si>
    <t>DAP 40</t>
  </si>
  <si>
    <t>DAP 46</t>
  </si>
  <si>
    <t>DAP 50</t>
  </si>
  <si>
    <t>DAP 53</t>
  </si>
  <si>
    <t>DAP 55</t>
  </si>
  <si>
    <t>DAP 60</t>
  </si>
  <si>
    <t>DAP 29</t>
  </si>
  <si>
    <t>DAP 62</t>
  </si>
  <si>
    <t>MES 1</t>
  </si>
  <si>
    <t>SELECCIONA EL PROCENTAJE O CANTIDAD DE ENERGÍA QUE DESEAS PRODUCIR CON TU SISTEMA. PUEDES AJUSTARLO A LA MEDIDA EN LA COLUMNA G</t>
  </si>
  <si>
    <t>AQUÍ SE ESPECIFÍCA LA CANTIDAD DE ENERGÍA QUE SEGUIRÁS CONSUMIENDO DE LA CFE</t>
  </si>
  <si>
    <t>MES 2</t>
  </si>
  <si>
    <t>MES 3</t>
  </si>
  <si>
    <t>MES 4</t>
  </si>
  <si>
    <t>MODIFICA EL PORCENTAJE DE ENERGÍA QUE DESEAS PRODUCIR Y LUEGO SELECCIONA DE LA LISTA EN LA COLUMNA DENOMINADA 
% Producción de Energía</t>
  </si>
  <si>
    <t>MES 5</t>
  </si>
  <si>
    <t>MES 6</t>
  </si>
  <si>
    <t>MES 7</t>
  </si>
  <si>
    <t>MES 8</t>
  </si>
  <si>
    <t>MES 9</t>
  </si>
  <si>
    <t>MES 10</t>
  </si>
  <si>
    <t>MES 11</t>
  </si>
  <si>
    <t>MES 12</t>
  </si>
  <si>
    <t>PROMEDIO MENSUAL</t>
  </si>
  <si>
    <t>PROMEDIO DIARIO (W) CFE MENSUAL</t>
  </si>
  <si>
    <t>PROMEDIO $ CONSUMO MENSUAL</t>
  </si>
  <si>
    <t>PROMEDIO $ CONSUMO ANUAL</t>
  </si>
  <si>
    <t>PROMEDIO DIARIO (W)</t>
  </si>
  <si>
    <t>BASE DE CALCULO PARA LA DETERMINACION DE UN SISTEMAS DE ENERGIA SOLAR</t>
  </si>
  <si>
    <t>VARIABLES</t>
  </si>
  <si>
    <t>SELECCIONA LA REGIÓN DONDE SE INSTALARÁ EL SISTEMA</t>
  </si>
  <si>
    <t>Ubicación (Estado)</t>
  </si>
  <si>
    <t>Insolacion prom. Anual (ISA)</t>
  </si>
  <si>
    <t>kWh/m2-Día</t>
  </si>
  <si>
    <t>AQUÍ SE ESPECIFÍCA LA CANTIDAD DE WATT QUE SE INSTALARÁN SEGÚN LAS SELECCIONES ANTERIORES</t>
  </si>
  <si>
    <t>Watts instalados</t>
  </si>
  <si>
    <t>Factor De conversion de energia</t>
  </si>
  <si>
    <t>Factor de riesgo de refraccion de la luz</t>
  </si>
  <si>
    <t>Potencia del modulo solar (W)</t>
  </si>
  <si>
    <t>Watts</t>
  </si>
  <si>
    <t>SELECCIONA LA POTENCIA DESEADA DE CADA PANEL DE TU SISTEMA</t>
  </si>
  <si>
    <t>AQUÍ SE ESPECIFÍCA EL % DE ENERGÍA PRODUCIDA SEGÚN LA POTENCIA DE CADA PANEL Y LA CANTIDAD DE LOS MISMOS A INSTALAR</t>
  </si>
  <si>
    <t>PRODUCCIÓN DE ENERGÍA</t>
  </si>
  <si>
    <t>Potencia producida por el panel (WH/Dia)</t>
  </si>
  <si>
    <t>Wh/Dia</t>
  </si>
  <si>
    <t>Capacidad de bateria de ciclo profundo</t>
  </si>
  <si>
    <t>Volts</t>
  </si>
  <si>
    <t>Amp-Hr</t>
  </si>
  <si>
    <t>Reserva adicional (baterias)</t>
  </si>
  <si>
    <t>%</t>
  </si>
  <si>
    <t>Tiempo de Respaldo</t>
  </si>
  <si>
    <t>Dias</t>
  </si>
  <si>
    <t>PANELES</t>
  </si>
  <si>
    <t>BATERIAS</t>
  </si>
  <si>
    <t>REGULADOR</t>
  </si>
  <si>
    <t>INVERSOR</t>
  </si>
  <si>
    <t>Total</t>
  </si>
  <si>
    <t>TRABAJO</t>
  </si>
  <si>
    <t>CONSUMO</t>
  </si>
  <si>
    <t>Cant.</t>
  </si>
  <si>
    <t>Hr/Dia</t>
  </si>
  <si>
    <t>Amp</t>
  </si>
  <si>
    <t>Consumo</t>
  </si>
  <si>
    <t>Comercial</t>
  </si>
  <si>
    <t>CANTIDAD</t>
  </si>
  <si>
    <t>CARACTERISTICAS</t>
  </si>
  <si>
    <t>Pza</t>
  </si>
  <si>
    <t>Modulos fotovoltaicos</t>
  </si>
  <si>
    <t>Baterias</t>
  </si>
  <si>
    <t>Regulador o Contolador de carga y descarga</t>
  </si>
  <si>
    <t>Código</t>
  </si>
  <si>
    <t>Concepto</t>
  </si>
  <si>
    <t>Unidad</t>
  </si>
  <si>
    <t>Costo</t>
  </si>
  <si>
    <t>Cantidad</t>
  </si>
  <si>
    <t>Importe</t>
  </si>
  <si>
    <t>COSTO/W INST</t>
  </si>
  <si>
    <t>Partida:</t>
  </si>
  <si>
    <t>GRAL-01</t>
  </si>
  <si>
    <t>Análisis No.:</t>
  </si>
  <si>
    <t>W INSTALADOS</t>
  </si>
  <si>
    <t>Análisis:</t>
  </si>
  <si>
    <t>GRAL-01.01</t>
  </si>
  <si>
    <t>COSTO SISTEMA</t>
  </si>
  <si>
    <t>Incluye seguro, maniobras, suministro de accesorios, armado, pruebas, conductores marca condumex, tubería,  planos completos,  mangueras y conectores para interconexión, etc. así como todo lo necesario para su correcta operación. -</t>
  </si>
  <si>
    <t>MATERIALES</t>
  </si>
  <si>
    <t>KW generados/h</t>
  </si>
  <si>
    <t>PZ</t>
  </si>
  <si>
    <t>Montaje extra largo de aluminio anodizado para techo o piso de concreto, de alta resistencia a climas extremos y rápida instalación para arreglo 1x4 módulos fotovoltáicos de 40mm de espesor</t>
  </si>
  <si>
    <t>Suministro e instalación de material eléctrico de acuerdo con la NOM-001-sede-vigente. Incluye: canalización a base de tubería galvanizada pg tipo imc cuando se encuentre expuesta o la intemperie, tubería galvanizada pd tipo emt cuando se encuentre bajo techumbres, falsos plafones o muros de Tablaroca, protecciones, cableado, sistema de protecciones lado corriente alterna y lado corriente directa.</t>
  </si>
  <si>
    <t>Kit</t>
  </si>
  <si>
    <t>AREA REQUERIDA (m2)</t>
  </si>
  <si>
    <t>Inversor para Interconexión a CFE de 3 kW con Salida de 220 Vca, Módulo Wifi Incluido</t>
  </si>
  <si>
    <t>SUBTOTAL:</t>
  </si>
  <si>
    <t>SELECCIONA DEL ARCHIVO ANEXO 1 "PRECIOS Y CAPACIDADES INVERSORES" EL(LOS) INVERSOR(ES) ADECUADOS PARA EL SISTEMA Y DIGITA: CÓDIGO, DESCRIPCIÓN, PRECIO Y CANTIDAD</t>
  </si>
  <si>
    <t>INSTALACION</t>
  </si>
  <si>
    <t>MANO DE OBRA</t>
  </si>
  <si>
    <t xml:space="preserve">Servicio de mano de obra calificada. Técnicos con constancias para trabajos eléctricos y trabajos en alturas, certificación en el estándar de competencia, ingeniería especializada, logística, fletes, maniobras, acarreos y limpieza en general. </t>
  </si>
  <si>
    <t>Proyecto eléctrico y gestoría ante C.F.E, dictamen de la unidad de verificación de instalaciones eléctricas (UVIE) y certificado de la unidad de inspección (UI).V</t>
  </si>
  <si>
    <t>IVA</t>
  </si>
  <si>
    <t>TOTAL</t>
  </si>
  <si>
    <t>TC</t>
  </si>
  <si>
    <t>REVISAR TC DEL DÍA Y APLICAR</t>
  </si>
  <si>
    <t>Costo MX</t>
  </si>
  <si>
    <t>Margen Considerado</t>
  </si>
  <si>
    <t>IMPORTANTE: EL CÁLCULO DEL RETORNO ESTÁ BASADO EN UNA PRODUCCIÓN Y AHORRO DEL 90-100%. ES POR ESTO QUE SI SE SELECCIONA UN % DE PRODUCCIÓN MENOR AL 90%, HAY QUE REDUCIR EL PAGO PROMEDIO ANUAL DE ENERGÍA ELÉCTRICA PARA REFLEJAR EL AHORRO REAL.</t>
  </si>
  <si>
    <t>EJEMPLO: PRODUCCIÓN DEL 50% DE ENERGÍA. (PAGO PROMEDIO ANUAL DE ENERGÍA ELÉCTRICA)*(0.5)</t>
  </si>
  <si>
    <t>Recuperación</t>
  </si>
  <si>
    <t>MX</t>
  </si>
  <si>
    <t>USD</t>
  </si>
  <si>
    <t>Años de recuperacion</t>
  </si>
  <si>
    <t>Inflacion</t>
  </si>
  <si>
    <t>Inversión</t>
  </si>
  <si>
    <t>Pago promedio anual de energía eléctrica</t>
  </si>
  <si>
    <t>Costo del sistema solar</t>
  </si>
  <si>
    <t>Año</t>
  </si>
  <si>
    <t>Gasto Anual</t>
  </si>
  <si>
    <t>Ahorro Acumulado</t>
  </si>
  <si>
    <t>Inversion</t>
  </si>
  <si>
    <t>TIR</t>
  </si>
  <si>
    <t>GANANCIA</t>
  </si>
  <si>
    <t>INVERSION</t>
  </si>
  <si>
    <t>Sistema al 99%</t>
  </si>
  <si>
    <t>1er Escalón de 100</t>
  </si>
  <si>
    <t>2ndo Escalón de 100</t>
  </si>
  <si>
    <t>Cargo Fijo</t>
  </si>
  <si>
    <t>Sistema al 100%</t>
  </si>
  <si>
    <t>Energía en Base</t>
  </si>
  <si>
    <t>Energía en Intermedia</t>
  </si>
  <si>
    <t>Energía en Punta</t>
  </si>
  <si>
    <t>Sistema al 30%</t>
  </si>
  <si>
    <t>Excedente</t>
  </si>
  <si>
    <t>SOLUCIONES EN SEGURIDAD Y ENERGÍA</t>
  </si>
  <si>
    <t>Datos del cliente</t>
  </si>
  <si>
    <t>Nombre:</t>
  </si>
  <si>
    <t xml:space="preserve">Dirección: </t>
  </si>
  <si>
    <t>Número de Servicio (RPU):</t>
  </si>
  <si>
    <t>Tarifa:</t>
  </si>
  <si>
    <t>Producción diaria de energía</t>
  </si>
  <si>
    <t>% Producción vs Consumo</t>
  </si>
  <si>
    <t>Consumo promedio diario de energía</t>
  </si>
  <si>
    <t>Parte</t>
  </si>
  <si>
    <t>Descripción</t>
  </si>
  <si>
    <t>SISTEMA FOTOVOLTAICO</t>
  </si>
  <si>
    <t>LOTE</t>
  </si>
  <si>
    <t>Condiciones de pago al contado:</t>
  </si>
  <si>
    <t>70% DE ANTICIPO:</t>
  </si>
  <si>
    <t>30% AL FINALIZAR:</t>
  </si>
  <si>
    <t>Los paneles cuentan con 25 años de garantía de rendimiento lineal</t>
  </si>
  <si>
    <t>Recuperación de la Inversión</t>
  </si>
  <si>
    <t>Años</t>
  </si>
  <si>
    <t>Material de Instalación Paneles</t>
  </si>
  <si>
    <t>Área Aproximada de instalación</t>
  </si>
  <si>
    <t>Accesorios en Aluminio Anodizado</t>
  </si>
  <si>
    <t>m2</t>
  </si>
  <si>
    <t>Instalación Eléctrica</t>
  </si>
  <si>
    <t>De acuerdo a las normas eléctricas de CFE</t>
  </si>
  <si>
    <t>Sistema de Fijación de Paneles</t>
  </si>
  <si>
    <t>Fijación en piso con protección de pasta epóxica a prueba de filtrado de agua</t>
  </si>
  <si>
    <t>Tiempo estimado de entrega: de 1 a 2 semanas</t>
  </si>
  <si>
    <t>Tiempo estimado de  instalación: Varía de acuerdo a dimensión del sistema</t>
  </si>
  <si>
    <t>Garantía: 10 años en módulos, 10 años en inversores y 1 año en instalación eléctrica</t>
  </si>
  <si>
    <t xml:space="preserve">Nota: Esta cotización es aproximada conforme a los datos proporcionados por el cliente y no constituye ningún compromiso de nuestra parte hasta la firma del contrato. </t>
  </si>
  <si>
    <t xml:space="preserve">Tiene vigencia de 05 días a partir de la fecha establecida en esta cotización. Los trámites administrativos ante la CFE no tienen costo. Las cuotas extras de la dependencia de CFE no están incluidos en esta cotización. Los trabajos, materiales o viáticos no mencionados, serán cotizados de acuerdo a las instalaciones. </t>
  </si>
  <si>
    <t>LA LEY DE IMPUESTO SOBRE LA RENTA, ARTÍCULO 40 - 12 SECCIÓN 2, MARCA QUE LOS PORCENTAJES MÁXIMOS AUTORIZADOS</t>
  </si>
  <si>
    <t>TRATÁNDOSE DE ACTIVOS FIJOS POR TIPO DE BIEN, ENERGÍAS ALTERNATIVAS (SOLAR) PODRÁN SER DEDUCIDAS AL 100%</t>
  </si>
  <si>
    <t>ATENTAMENTE</t>
  </si>
  <si>
    <t>__________________________________________________________</t>
  </si>
  <si>
    <t>ING. JOSÉ RAMÓN DÍAZ GAXIOLA</t>
  </si>
  <si>
    <t>GERENTE OPERATIVO</t>
  </si>
  <si>
    <t>Calle Coahuila # 2008-Local 2, Cortinas 3ra. Sección, C. P. 85169, Ciudad Obregón, Sonora.</t>
  </si>
  <si>
    <t>Total:</t>
  </si>
  <si>
    <t xml:space="preserve">Su inversión total </t>
  </si>
  <si>
    <t>será de:</t>
  </si>
  <si>
    <t>Pesos:</t>
  </si>
  <si>
    <t>IVA:</t>
  </si>
  <si>
    <t>Modulo Solar 620W, 50 Vcd, Monocristalino, 144 Celdas grado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</si>
</sst>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8" formatCode="&quot;$&quot;#,##0.00;[Red]\-&quot;$&quot;#,##0.00"/>
    <numFmt numFmtId="41" formatCode="_-* #,##0_-;\-* #,##0_-;_-* &quot;-&quot;_-;_-@_-"/>
    <numFmt numFmtId="44" formatCode="_-&quot;$&quot;* #,##0.00_-;\-&quot;$&quot;* #,##0.00_-;_-&quot;$&quot;* &quot;-&quot;??_-;_-@_-"/>
    <numFmt numFmtId="43" formatCode="_-* #,##0.00_-;\-* #,##0.00_-;_-* &quot;-&quot;??_-;_-@_-"/>
    <numFmt numFmtId="164" formatCode="0.0%"/>
    <numFmt numFmtId="165" formatCode="0.0"/>
    <numFmt numFmtId="166" formatCode="#,##0.00&quot;$&quot;;[Red]#,##0.00&quot;$&quot;"/>
    <numFmt numFmtId="167" formatCode="[$$]#,##0.00"/>
    <numFmt numFmtId="168" formatCode="0.000000"/>
    <numFmt numFmtId="169" formatCode="[$$-540A]#,##0.00"/>
    <numFmt numFmtId="170" formatCode="[$$-86B]\ #,##0"/>
    <numFmt numFmtId="171" formatCode="[$$-540A]#,##0"/>
    <numFmt numFmtId="172" formatCode="#,##0.00&quot;$&quot;"/>
    <numFmt numFmtId="173" formatCode="_-* #,##0_-;\-* #,##0_-;_-* &quot;-&quot;??_-;_-@_-"/>
    <numFmt numFmtId="174" formatCode="_-* #,##0.0000_-;\-* #,##0.0000_-;_-* &quot;-&quot;??_-;_-@_-"/>
    <numFmt numFmtId="175" formatCode="&quot;$&quot;#,##0.00"/>
    <numFmt numFmtId="176" formatCode="&quot;$&quot;#,##0"/>
    <numFmt numFmtId="177" formatCode="[$-F800]dddd\,\ mmmm\ dd\,\ yyyy"/>
    <numFmt numFmtId="178" formatCode="_-&quot;$&quot;* #,##0_-;\-&quot;$&quot;* #,##0_-;_-&quot;$&quot;* &quot;-&quot;??_-;_-@_-"/>
    <numFmt numFmtId="179" formatCode="0.0000"/>
    <numFmt numFmtId="180" formatCode="#,##0.0000"/>
    <numFmt numFmtId="181" formatCode="_-[$€-2]* #,##0.00_-;\-[$€-2]* #,##0.00_-;_-[$€-2]* &quot;-&quot;??_-"/>
    <numFmt numFmtId="182" formatCode="#,###"/>
    <numFmt numFmtId="183" formatCode="0.00_)"/>
    <numFmt numFmtId="184" formatCode="_-&quot;£&quot;* #,##0_-;\-&quot;£&quot;* #,##0_-;_-&quot;£&quot;* &quot;-&quot;_-;_-@_-"/>
    <numFmt numFmtId="185" formatCode="_-&quot;£&quot;* #,##0.00_-;\-&quot;£&quot;* #,##0.00_-;_-&quot;£&quot;* &quot;-&quot;??_-;_-@_-"/>
  </numFmts>
  <fonts count="7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0"/>
      <name val="Symbol"/>
      <family val="1"/>
    </font>
    <font>
      <sz val="10"/>
      <name val="Arial"/>
      <family val="2"/>
    </font>
    <font>
      <b/>
      <sz val="10"/>
      <name val="Arial"/>
      <family val="2"/>
    </font>
    <font>
      <b/>
      <sz val="9"/>
      <name val="Arial"/>
      <family val="2"/>
    </font>
    <font>
      <sz val="9"/>
      <name val="Arial"/>
      <family val="2"/>
    </font>
    <font>
      <b/>
      <sz val="12"/>
      <name val="Arial"/>
      <family val="2"/>
    </font>
    <font>
      <b/>
      <sz val="10"/>
      <color indexed="18"/>
      <name val="Arial"/>
      <family val="2"/>
    </font>
    <font>
      <b/>
      <sz val="10"/>
      <color indexed="17"/>
      <name val="Arial"/>
      <family val="2"/>
    </font>
    <font>
      <sz val="12"/>
      <name val="Arial"/>
      <family val="2"/>
    </font>
    <font>
      <b/>
      <sz val="12"/>
      <color indexed="18"/>
      <name val="Arial"/>
      <family val="2"/>
    </font>
    <font>
      <b/>
      <sz val="8"/>
      <name val="Arial"/>
      <family val="2"/>
    </font>
    <font>
      <b/>
      <sz val="10"/>
      <color indexed="10"/>
      <name val="Arial"/>
      <family val="2"/>
    </font>
    <font>
      <b/>
      <sz val="12"/>
      <color indexed="10"/>
      <name val="Arial"/>
      <family val="2"/>
    </font>
    <font>
      <sz val="10"/>
      <color indexed="10"/>
      <name val="Arial"/>
      <family val="2"/>
    </font>
    <font>
      <b/>
      <sz val="10"/>
      <color indexed="21"/>
      <name val="Arial"/>
      <family val="2"/>
    </font>
    <font>
      <sz val="12"/>
      <name val="Comic Sans MS"/>
      <family val="4"/>
    </font>
    <font>
      <b/>
      <sz val="12"/>
      <name val="Comic Sans MS"/>
      <family val="4"/>
    </font>
    <font>
      <sz val="11"/>
      <color indexed="8"/>
      <name val="Calibri"/>
      <family val="2"/>
    </font>
    <font>
      <b/>
      <sz val="12"/>
      <color theme="0" tint="-0.499984740745262"/>
      <name val="Calibri"/>
      <family val="2"/>
      <scheme val="minor"/>
    </font>
    <font>
      <b/>
      <sz val="14"/>
      <color theme="6"/>
      <name val="Calibri"/>
      <family val="2"/>
      <scheme val="minor"/>
    </font>
    <font>
      <b/>
      <sz val="11"/>
      <color theme="0" tint="-0.499984740745262"/>
      <name val="Calibri"/>
      <family val="2"/>
      <scheme val="minor"/>
    </font>
    <font>
      <sz val="11"/>
      <color theme="0" tint="-0.499984740745262"/>
      <name val="Calibri"/>
      <family val="2"/>
      <scheme val="minor"/>
    </font>
    <font>
      <b/>
      <sz val="12"/>
      <color rgb="FFB6BD00"/>
      <name val="Calibri"/>
      <family val="2"/>
      <scheme val="minor"/>
    </font>
    <font>
      <sz val="10"/>
      <name val="Helv"/>
    </font>
    <font>
      <sz val="10"/>
      <name val="CG Omega"/>
    </font>
    <font>
      <sz val="8"/>
      <color indexed="17"/>
      <name val="Helv"/>
    </font>
    <font>
      <b/>
      <sz val="12"/>
      <name val="Helv"/>
    </font>
    <font>
      <sz val="10"/>
      <color indexed="11"/>
      <name val="Helv"/>
    </font>
    <font>
      <sz val="10"/>
      <name val="MS Sans Serif"/>
      <family val="2"/>
    </font>
    <font>
      <b/>
      <i/>
      <sz val="16"/>
      <name val="Helv"/>
    </font>
    <font>
      <b/>
      <sz val="10"/>
      <name val="MS Sans Serif"/>
      <family val="2"/>
    </font>
    <font>
      <b/>
      <sz val="10"/>
      <color indexed="10"/>
      <name val="Helv"/>
    </font>
    <font>
      <sz val="12"/>
      <name val="Helv"/>
    </font>
    <font>
      <sz val="12"/>
      <name val="宋体"/>
      <charset val="134"/>
    </font>
    <font>
      <b/>
      <sz val="14"/>
      <color theme="0" tint="-0.499984740745262"/>
      <name val="Calibri"/>
      <family val="2"/>
      <scheme val="minor"/>
    </font>
    <font>
      <b/>
      <sz val="16"/>
      <color theme="0"/>
      <name val="Calibri"/>
      <family val="2"/>
      <scheme val="minor"/>
    </font>
    <font>
      <sz val="10"/>
      <color theme="1"/>
      <name val="Arial"/>
      <family val="2"/>
    </font>
    <font>
      <b/>
      <sz val="10"/>
      <color theme="1"/>
      <name val="Arial"/>
      <family val="2"/>
    </font>
    <font>
      <sz val="10"/>
      <name val="Calibri"/>
      <family val="2"/>
    </font>
    <font>
      <sz val="10"/>
      <color theme="0"/>
      <name val="Calibri"/>
      <family val="2"/>
    </font>
    <font>
      <b/>
      <sz val="18"/>
      <name val="Arial"/>
      <family val="2"/>
    </font>
    <font>
      <b/>
      <sz val="10"/>
      <color theme="0"/>
      <name val="Arial"/>
      <family val="2"/>
    </font>
    <font>
      <u/>
      <sz val="10"/>
      <color theme="10"/>
      <name val="Arial"/>
      <family val="2"/>
    </font>
    <font>
      <u/>
      <sz val="10"/>
      <color theme="11"/>
      <name val="Arial"/>
      <family val="2"/>
    </font>
    <font>
      <b/>
      <sz val="11"/>
      <color theme="3"/>
      <name val="Calibri"/>
      <family val="2"/>
      <scheme val="minor"/>
    </font>
    <font>
      <b/>
      <sz val="14"/>
      <color theme="3"/>
      <name val="Calibri"/>
      <family val="2"/>
      <scheme val="minor"/>
    </font>
    <font>
      <b/>
      <sz val="12"/>
      <color theme="3"/>
      <name val="Calibri"/>
      <family val="2"/>
      <scheme val="minor"/>
    </font>
    <font>
      <b/>
      <sz val="20"/>
      <color theme="3"/>
      <name val="Calibri"/>
      <family val="2"/>
      <scheme val="minor"/>
    </font>
    <font>
      <b/>
      <sz val="16"/>
      <color theme="3"/>
      <name val="Calibri"/>
      <family val="2"/>
      <scheme val="minor"/>
    </font>
    <font>
      <b/>
      <sz val="9"/>
      <color theme="0" tint="-0.499984740745262"/>
      <name val="Arial"/>
      <family val="2"/>
    </font>
    <font>
      <b/>
      <sz val="52"/>
      <color theme="3"/>
      <name val="Angsana New"/>
      <family val="1"/>
    </font>
    <font>
      <sz val="12"/>
      <color theme="1"/>
      <name val="Calibri"/>
      <family val="2"/>
      <scheme val="minor"/>
    </font>
    <font>
      <sz val="14"/>
      <color theme="1"/>
      <name val="Calibri"/>
      <family val="2"/>
      <scheme val="minor"/>
    </font>
    <font>
      <b/>
      <sz val="12"/>
      <color rgb="FF9D0101"/>
      <name val="Calibri"/>
      <family val="2"/>
      <scheme val="minor"/>
    </font>
    <font>
      <b/>
      <sz val="14"/>
      <color theme="0"/>
      <name val="Calibri"/>
      <family val="2"/>
      <scheme val="minor"/>
    </font>
    <font>
      <b/>
      <sz val="14"/>
      <name val="Calibri"/>
      <family val="2"/>
      <scheme val="minor"/>
    </font>
    <font>
      <b/>
      <sz val="14"/>
      <color theme="1"/>
      <name val="Calibri"/>
      <family val="2"/>
      <scheme val="minor"/>
    </font>
    <font>
      <sz val="14"/>
      <name val="Calibri"/>
      <family val="2"/>
      <scheme val="minor"/>
    </font>
    <font>
      <sz val="8"/>
      <color rgb="FF333333"/>
      <name val="Arial"/>
      <family val="2"/>
    </font>
    <font>
      <b/>
      <sz val="60"/>
      <color theme="3"/>
      <name val="Angsana New"/>
      <family val="1"/>
    </font>
    <font>
      <b/>
      <sz val="24"/>
      <name val="Arial"/>
      <family val="2"/>
    </font>
    <font>
      <b/>
      <sz val="22"/>
      <color theme="3"/>
      <name val="Calibri"/>
      <family val="2"/>
      <scheme val="minor"/>
    </font>
    <font>
      <b/>
      <sz val="16"/>
      <color theme="0" tint="-0.499984740745262"/>
      <name val="Calibri"/>
      <family val="2"/>
      <scheme val="minor"/>
    </font>
    <font>
      <sz val="10"/>
      <color rgb="FF000000"/>
      <name val="Arial"/>
      <family val="2"/>
    </font>
  </fonts>
  <fills count="27">
    <fill>
      <patternFill patternType="none"/>
    </fill>
    <fill>
      <patternFill patternType="gray125"/>
    </fill>
    <fill>
      <patternFill patternType="solid">
        <fgColor indexed="43"/>
        <bgColor indexed="64"/>
      </patternFill>
    </fill>
    <fill>
      <patternFill patternType="solid">
        <fgColor indexed="46"/>
        <bgColor indexed="64"/>
      </patternFill>
    </fill>
    <fill>
      <patternFill patternType="solid">
        <fgColor indexed="13"/>
        <bgColor indexed="64"/>
      </patternFill>
    </fill>
    <fill>
      <patternFill patternType="solid">
        <fgColor indexed="9"/>
        <bgColor indexed="64"/>
      </patternFill>
    </fill>
    <fill>
      <patternFill patternType="solid">
        <fgColor indexed="45"/>
        <bgColor indexed="64"/>
      </patternFill>
    </fill>
    <fill>
      <patternFill patternType="solid">
        <fgColor indexed="53"/>
        <bgColor indexed="64"/>
      </patternFill>
    </fill>
    <fill>
      <patternFill patternType="solid">
        <fgColor indexed="47"/>
        <bgColor indexed="64"/>
      </patternFill>
    </fill>
    <fill>
      <patternFill patternType="solid">
        <fgColor indexed="55"/>
        <bgColor indexed="64"/>
      </patternFill>
    </fill>
    <fill>
      <patternFill patternType="solid">
        <fgColor rgb="FF92D050"/>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indexed="38"/>
      </patternFill>
    </fill>
    <fill>
      <patternFill patternType="solid">
        <fgColor indexed="22"/>
        <bgColor indexed="64"/>
      </patternFill>
    </fill>
    <fill>
      <patternFill patternType="gray125">
        <fgColor indexed="8"/>
      </patternFill>
    </fill>
    <fill>
      <patternFill patternType="solid">
        <fgColor indexed="26"/>
        <bgColor indexed="64"/>
      </patternFill>
    </fill>
    <fill>
      <patternFill patternType="solid">
        <fgColor theme="6" tint="0.79998168889431442"/>
        <bgColor indexed="64"/>
      </patternFill>
    </fill>
    <fill>
      <patternFill patternType="solid">
        <fgColor rgb="FF00B050"/>
        <bgColor indexed="64"/>
      </patternFill>
    </fill>
    <fill>
      <patternFill patternType="solid">
        <fgColor theme="2"/>
        <bgColor indexed="64"/>
      </patternFill>
    </fill>
    <fill>
      <patternFill patternType="solid">
        <fgColor theme="3"/>
        <bgColor indexed="64"/>
      </patternFill>
    </fill>
    <fill>
      <patternFill patternType="solid">
        <fgColor theme="4"/>
        <bgColor indexed="64"/>
      </patternFill>
    </fill>
    <fill>
      <patternFill patternType="solid">
        <fgColor theme="0"/>
        <bgColor rgb="FFFFFF00"/>
      </patternFill>
    </fill>
  </fills>
  <borders count="101">
    <border>
      <left/>
      <right/>
      <top/>
      <bottom/>
      <diagonal/>
    </border>
    <border>
      <left style="thin">
        <color indexed="22"/>
      </left>
      <right style="thin">
        <color indexed="22"/>
      </right>
      <top style="thin">
        <color indexed="22"/>
      </top>
      <bottom style="thin">
        <color indexed="22"/>
      </bottom>
      <diagonal/>
    </border>
    <border>
      <left style="thin">
        <color indexed="22"/>
      </left>
      <right/>
      <top style="thin">
        <color indexed="22"/>
      </top>
      <bottom style="thin">
        <color indexed="22"/>
      </bottom>
      <diagonal/>
    </border>
    <border>
      <left style="thin">
        <color indexed="22"/>
      </left>
      <right style="thin">
        <color indexed="22"/>
      </right>
      <top style="thin">
        <color indexed="22"/>
      </top>
      <bottom/>
      <diagonal/>
    </border>
    <border>
      <left style="thin">
        <color indexed="18"/>
      </left>
      <right style="thin">
        <color indexed="22"/>
      </right>
      <top style="thin">
        <color indexed="18"/>
      </top>
      <bottom style="thin">
        <color indexed="22"/>
      </bottom>
      <diagonal/>
    </border>
    <border>
      <left style="thin">
        <color indexed="22"/>
      </left>
      <right style="thin">
        <color indexed="22"/>
      </right>
      <top style="thin">
        <color indexed="18"/>
      </top>
      <bottom style="thin">
        <color indexed="22"/>
      </bottom>
      <diagonal/>
    </border>
    <border>
      <left style="thin">
        <color indexed="22"/>
      </left>
      <right style="thin">
        <color indexed="18"/>
      </right>
      <top style="thin">
        <color indexed="18"/>
      </top>
      <bottom style="thin">
        <color indexed="22"/>
      </bottom>
      <diagonal/>
    </border>
    <border>
      <left style="thin">
        <color indexed="18"/>
      </left>
      <right style="thin">
        <color indexed="22"/>
      </right>
      <top style="thin">
        <color indexed="22"/>
      </top>
      <bottom style="thin">
        <color indexed="22"/>
      </bottom>
      <diagonal/>
    </border>
    <border>
      <left style="thin">
        <color indexed="22"/>
      </left>
      <right style="thin">
        <color indexed="18"/>
      </right>
      <top style="thin">
        <color indexed="22"/>
      </top>
      <bottom style="thin">
        <color indexed="22"/>
      </bottom>
      <diagonal/>
    </border>
    <border>
      <left style="thin">
        <color indexed="18"/>
      </left>
      <right style="thin">
        <color indexed="22"/>
      </right>
      <top style="thin">
        <color indexed="22"/>
      </top>
      <bottom style="thin">
        <color indexed="18"/>
      </bottom>
      <diagonal/>
    </border>
    <border>
      <left style="thin">
        <color indexed="22"/>
      </left>
      <right style="thin">
        <color indexed="22"/>
      </right>
      <top style="thin">
        <color indexed="22"/>
      </top>
      <bottom style="thin">
        <color indexed="18"/>
      </bottom>
      <diagonal/>
    </border>
    <border>
      <left style="thin">
        <color indexed="22"/>
      </left>
      <right style="thin">
        <color indexed="18"/>
      </right>
      <top style="thin">
        <color indexed="22"/>
      </top>
      <bottom style="thin">
        <color indexed="18"/>
      </bottom>
      <diagonal/>
    </border>
    <border>
      <left/>
      <right/>
      <top style="thin">
        <color indexed="22"/>
      </top>
      <bottom/>
      <diagonal/>
    </border>
    <border>
      <left/>
      <right style="thin">
        <color indexed="22"/>
      </right>
      <top style="thin">
        <color indexed="22"/>
      </top>
      <bottom style="thin">
        <color indexed="22"/>
      </bottom>
      <diagonal/>
    </border>
    <border>
      <left style="thin">
        <color indexed="18"/>
      </left>
      <right style="thin">
        <color indexed="31"/>
      </right>
      <top style="thin">
        <color indexed="18"/>
      </top>
      <bottom style="thin">
        <color indexed="31"/>
      </bottom>
      <diagonal/>
    </border>
    <border>
      <left style="thin">
        <color indexed="31"/>
      </left>
      <right style="thin">
        <color indexed="31"/>
      </right>
      <top style="thin">
        <color indexed="18"/>
      </top>
      <bottom style="thin">
        <color indexed="31"/>
      </bottom>
      <diagonal/>
    </border>
    <border>
      <left style="thin">
        <color indexed="31"/>
      </left>
      <right style="thin">
        <color indexed="18"/>
      </right>
      <top style="thin">
        <color indexed="18"/>
      </top>
      <bottom style="thin">
        <color indexed="31"/>
      </bottom>
      <diagonal/>
    </border>
    <border>
      <left style="thin">
        <color indexed="18"/>
      </left>
      <right style="thin">
        <color indexed="31"/>
      </right>
      <top style="thin">
        <color indexed="31"/>
      </top>
      <bottom style="thin">
        <color indexed="31"/>
      </bottom>
      <diagonal/>
    </border>
    <border>
      <left style="thin">
        <color indexed="31"/>
      </left>
      <right style="thin">
        <color indexed="31"/>
      </right>
      <top style="thin">
        <color indexed="31"/>
      </top>
      <bottom style="thin">
        <color indexed="31"/>
      </bottom>
      <diagonal/>
    </border>
    <border>
      <left style="thin">
        <color indexed="31"/>
      </left>
      <right style="thin">
        <color indexed="18"/>
      </right>
      <top style="thin">
        <color indexed="31"/>
      </top>
      <bottom style="thin">
        <color indexed="31"/>
      </bottom>
      <diagonal/>
    </border>
    <border>
      <left style="thin">
        <color indexed="18"/>
      </left>
      <right style="thin">
        <color indexed="31"/>
      </right>
      <top style="thin">
        <color indexed="31"/>
      </top>
      <bottom style="thin">
        <color indexed="18"/>
      </bottom>
      <diagonal/>
    </border>
    <border>
      <left style="thin">
        <color indexed="31"/>
      </left>
      <right style="thin">
        <color indexed="31"/>
      </right>
      <top style="thin">
        <color indexed="31"/>
      </top>
      <bottom style="thin">
        <color indexed="18"/>
      </bottom>
      <diagonal/>
    </border>
    <border>
      <left style="thin">
        <color indexed="31"/>
      </left>
      <right style="thin">
        <color indexed="18"/>
      </right>
      <top style="thin">
        <color indexed="31"/>
      </top>
      <bottom style="thin">
        <color indexed="18"/>
      </bottom>
      <diagonal/>
    </border>
    <border>
      <left style="thin">
        <color indexed="18"/>
      </left>
      <right/>
      <top style="thin">
        <color indexed="18"/>
      </top>
      <bottom style="thin">
        <color indexed="22"/>
      </bottom>
      <diagonal/>
    </border>
    <border>
      <left style="thin">
        <color indexed="18"/>
      </left>
      <right/>
      <top style="thin">
        <color indexed="22"/>
      </top>
      <bottom style="thin">
        <color indexed="22"/>
      </bottom>
      <diagonal/>
    </border>
    <border>
      <left style="thin">
        <color indexed="18"/>
      </left>
      <right/>
      <top style="thin">
        <color indexed="22"/>
      </top>
      <bottom style="thin">
        <color indexed="18"/>
      </bottom>
      <diagonal/>
    </border>
    <border>
      <left style="thin">
        <color indexed="22"/>
      </left>
      <right style="thin">
        <color indexed="22"/>
      </right>
      <top/>
      <bottom style="thin">
        <color indexed="22"/>
      </bottom>
      <diagonal/>
    </border>
    <border>
      <left/>
      <right/>
      <top style="thin">
        <color indexed="22"/>
      </top>
      <bottom style="thin">
        <color indexed="22"/>
      </bottom>
      <diagonal/>
    </border>
    <border>
      <left style="thin">
        <color indexed="31"/>
      </left>
      <right/>
      <top style="thin">
        <color indexed="18"/>
      </top>
      <bottom style="thin">
        <color indexed="31"/>
      </bottom>
      <diagonal/>
    </border>
    <border>
      <left style="thin">
        <color indexed="31"/>
      </left>
      <right/>
      <top style="thin">
        <color indexed="31"/>
      </top>
      <bottom style="thin">
        <color indexed="31"/>
      </bottom>
      <diagonal/>
    </border>
    <border>
      <left style="thin">
        <color indexed="31"/>
      </left>
      <right/>
      <top style="thin">
        <color indexed="31"/>
      </top>
      <bottom style="thin">
        <color indexed="18"/>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top style="thin">
        <color indexed="8"/>
      </top>
      <bottom/>
      <diagonal/>
    </border>
    <border>
      <left style="thin">
        <color auto="1"/>
      </left>
      <right style="thin">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indexed="22"/>
      </left>
      <right style="thin">
        <color indexed="22"/>
      </right>
      <top/>
      <bottom/>
      <diagonal/>
    </border>
    <border>
      <left style="thin">
        <color indexed="22"/>
      </left>
      <right/>
      <top style="thin">
        <color indexed="22"/>
      </top>
      <bottom/>
      <diagonal/>
    </border>
    <border>
      <left/>
      <right style="thin">
        <color indexed="22"/>
      </right>
      <top style="thin">
        <color indexed="22"/>
      </top>
      <bottom/>
      <diagonal/>
    </border>
    <border>
      <left style="thin">
        <color indexed="22"/>
      </left>
      <right/>
      <top/>
      <bottom/>
      <diagonal/>
    </border>
    <border>
      <left/>
      <right style="thin">
        <color indexed="22"/>
      </right>
      <top/>
      <bottom/>
      <diagonal/>
    </border>
    <border>
      <left/>
      <right/>
      <top/>
      <bottom style="thin">
        <color indexed="22"/>
      </bottom>
      <diagonal/>
    </border>
    <border>
      <left style="thin">
        <color indexed="22"/>
      </left>
      <right/>
      <top/>
      <bottom style="thin">
        <color indexed="22"/>
      </bottom>
      <diagonal/>
    </border>
    <border>
      <left/>
      <right style="thin">
        <color indexed="22"/>
      </right>
      <top/>
      <bottom style="thin">
        <color indexed="22"/>
      </bottom>
      <diagonal/>
    </border>
    <border>
      <left style="thin">
        <color indexed="31"/>
      </left>
      <right style="thin">
        <color indexed="31"/>
      </right>
      <top/>
      <bottom style="thin">
        <color indexed="31"/>
      </bottom>
      <diagonal/>
    </border>
    <border>
      <left style="medium">
        <color auto="1"/>
      </left>
      <right style="medium">
        <color auto="1"/>
      </right>
      <top/>
      <bottom style="medium">
        <color auto="1"/>
      </bottom>
      <diagonal/>
    </border>
    <border>
      <left style="thin">
        <color indexed="8"/>
      </left>
      <right style="thin">
        <color indexed="8"/>
      </right>
      <top/>
      <bottom/>
      <diagonal/>
    </border>
    <border>
      <left/>
      <right/>
      <top style="medium">
        <color auto="1"/>
      </top>
      <bottom style="medium">
        <color auto="1"/>
      </bottom>
      <diagonal/>
    </border>
    <border>
      <left/>
      <right/>
      <top style="thin">
        <color auto="1"/>
      </top>
      <bottom style="thin">
        <color auto="1"/>
      </bottom>
      <diagonal/>
    </border>
    <border>
      <left style="thin">
        <color auto="1"/>
      </left>
      <right style="thin">
        <color auto="1"/>
      </right>
      <top/>
      <bottom/>
      <diagonal/>
    </border>
    <border>
      <left/>
      <right/>
      <top/>
      <bottom style="medium">
        <color auto="1"/>
      </bottom>
      <diagonal/>
    </border>
    <border>
      <left style="thin">
        <color auto="1"/>
      </left>
      <right style="thin">
        <color auto="1"/>
      </right>
      <top style="double">
        <color auto="1"/>
      </top>
      <bottom style="medium">
        <color auto="1"/>
      </bottom>
      <diagonal/>
    </border>
    <border>
      <left style="thin">
        <color indexed="8"/>
      </left>
      <right/>
      <top/>
      <bottom style="thin">
        <color indexed="8"/>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auto="1"/>
      </left>
      <right style="medium">
        <color auto="1"/>
      </right>
      <top/>
      <bottom/>
      <diagonal/>
    </border>
    <border>
      <left style="medium">
        <color auto="1"/>
      </left>
      <right/>
      <top style="medium">
        <color auto="1"/>
      </top>
      <bottom style="medium">
        <color auto="1"/>
      </bottom>
      <diagonal/>
    </border>
    <border>
      <left/>
      <right/>
      <top style="medium">
        <color auto="1"/>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style="medium">
        <color auto="1"/>
      </left>
      <right style="medium">
        <color auto="1"/>
      </right>
      <top style="thin">
        <color auto="1"/>
      </top>
      <bottom/>
      <diagonal/>
    </border>
    <border>
      <left style="medium">
        <color auto="1"/>
      </left>
      <right/>
      <top/>
      <bottom/>
      <diagonal/>
    </border>
    <border>
      <left style="medium">
        <color auto="1"/>
      </left>
      <right/>
      <top/>
      <bottom style="medium">
        <color auto="1"/>
      </bottom>
      <diagonal/>
    </border>
    <border>
      <left/>
      <right style="medium">
        <color auto="1"/>
      </right>
      <top style="medium">
        <color auto="1"/>
      </top>
      <bottom style="medium">
        <color auto="1"/>
      </bottom>
      <diagonal/>
    </border>
    <border>
      <left style="thin">
        <color indexed="31"/>
      </left>
      <right/>
      <top style="thin">
        <color indexed="31"/>
      </top>
      <bottom style="thin">
        <color indexed="31"/>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style="medium">
        <color theme="0" tint="-0.499984740745262"/>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style="medium">
        <color auto="1"/>
      </top>
      <bottom style="thin">
        <color auto="1"/>
      </bottom>
      <diagonal/>
    </border>
    <border>
      <left/>
      <right style="thin">
        <color auto="1"/>
      </right>
      <top style="medium">
        <color auto="1"/>
      </top>
      <bottom style="thin">
        <color auto="1"/>
      </bottom>
      <diagonal/>
    </border>
    <border>
      <left/>
      <right/>
      <top/>
      <bottom style="thin">
        <color auto="1"/>
      </bottom>
      <diagonal/>
    </border>
    <border>
      <left/>
      <right style="thin">
        <color auto="1"/>
      </right>
      <top/>
      <bottom style="thin">
        <color auto="1"/>
      </bottom>
      <diagonal/>
    </border>
    <border>
      <left style="medium">
        <color theme="0" tint="-0.499984740745262"/>
      </left>
      <right/>
      <top/>
      <bottom style="medium">
        <color theme="0" tint="-0.499984740745262"/>
      </bottom>
      <diagonal/>
    </border>
    <border>
      <left style="medium">
        <color theme="0" tint="-0.499984740745262"/>
      </left>
      <right style="medium">
        <color theme="0" tint="-0.499984740745262"/>
      </right>
      <top style="medium">
        <color theme="0" tint="-0.499984740745262"/>
      </top>
      <bottom style="medium">
        <color theme="0" tint="-0.499984740745262"/>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diagonal/>
    </border>
  </borders>
  <cellStyleXfs count="51">
    <xf numFmtId="0" fontId="0" fillId="0" borderId="0"/>
    <xf numFmtId="44" fontId="8" fillId="0" borderId="0"/>
    <xf numFmtId="9" fontId="8" fillId="0" borderId="0"/>
    <xf numFmtId="0" fontId="4" fillId="0" borderId="0"/>
    <xf numFmtId="43" fontId="4" fillId="0" borderId="0"/>
    <xf numFmtId="0" fontId="8" fillId="0" borderId="0"/>
    <xf numFmtId="0" fontId="8" fillId="17" borderId="0"/>
    <xf numFmtId="0" fontId="30" fillId="0" borderId="0"/>
    <xf numFmtId="0" fontId="30" fillId="0" borderId="0"/>
    <xf numFmtId="0" fontId="8" fillId="0" borderId="0"/>
    <xf numFmtId="181" fontId="31" fillId="0" borderId="0"/>
    <xf numFmtId="3" fontId="32" fillId="0" borderId="0">
      <protection locked="0"/>
    </xf>
    <xf numFmtId="38" fontId="6" fillId="18" borderId="0"/>
    <xf numFmtId="0" fontId="33" fillId="19" borderId="54"/>
    <xf numFmtId="0" fontId="12" fillId="0" borderId="55">
      <alignment horizontal="left" vertical="center"/>
    </xf>
    <xf numFmtId="0" fontId="12" fillId="0" borderId="56">
      <alignment horizontal="left" vertical="center"/>
    </xf>
    <xf numFmtId="0" fontId="9" fillId="2" borderId="36">
      <alignment vertical="center" wrapText="1"/>
    </xf>
    <xf numFmtId="10" fontId="6" fillId="20" borderId="34"/>
    <xf numFmtId="182" fontId="34" fillId="0" borderId="57">
      <alignment horizontal="center"/>
    </xf>
    <xf numFmtId="38" fontId="35" fillId="0" borderId="0"/>
    <xf numFmtId="40" fontId="35" fillId="0" borderId="0"/>
    <xf numFmtId="43" fontId="8" fillId="0" borderId="0"/>
    <xf numFmtId="0" fontId="8" fillId="0" borderId="0"/>
    <xf numFmtId="0" fontId="8" fillId="0" borderId="0"/>
    <xf numFmtId="183" fontId="36" fillId="0" borderId="0"/>
    <xf numFmtId="0" fontId="8" fillId="0" borderId="0"/>
    <xf numFmtId="0" fontId="8" fillId="0" borderId="0"/>
    <xf numFmtId="0" fontId="4" fillId="0" borderId="0"/>
    <xf numFmtId="0" fontId="4" fillId="0" borderId="0"/>
    <xf numFmtId="0" fontId="30" fillId="0" borderId="0"/>
    <xf numFmtId="10" fontId="8" fillId="0" borderId="0"/>
    <xf numFmtId="9" fontId="8" fillId="0" borderId="0"/>
    <xf numFmtId="0" fontId="35" fillId="0" borderId="0">
      <alignment horizontal="left"/>
    </xf>
    <xf numFmtId="15" fontId="35" fillId="0" borderId="0"/>
    <xf numFmtId="4" fontId="35" fillId="0" borderId="0"/>
    <xf numFmtId="0" fontId="37" fillId="0" borderId="58">
      <alignment horizontal="center"/>
    </xf>
    <xf numFmtId="3" fontId="35" fillId="0" borderId="0"/>
    <xf numFmtId="0" fontId="8" fillId="0" borderId="0"/>
    <xf numFmtId="182" fontId="38" fillId="0" borderId="57">
      <alignment horizontal="center"/>
    </xf>
    <xf numFmtId="3" fontId="8" fillId="0" borderId="34">
      <alignment vertical="center"/>
    </xf>
    <xf numFmtId="4" fontId="8" fillId="0" borderId="59">
      <alignment vertical="center"/>
    </xf>
    <xf numFmtId="40" fontId="35" fillId="0" borderId="0"/>
    <xf numFmtId="184" fontId="8" fillId="0" borderId="0"/>
    <xf numFmtId="185" fontId="8" fillId="0" borderId="0"/>
    <xf numFmtId="0" fontId="39" fillId="0" borderId="60"/>
    <xf numFmtId="41" fontId="40" fillId="0" borderId="0"/>
    <xf numFmtId="43" fontId="40" fillId="0" borderId="0"/>
    <xf numFmtId="0" fontId="40" fillId="0" borderId="0"/>
    <xf numFmtId="43" fontId="8" fillId="0" borderId="0"/>
    <xf numFmtId="0" fontId="49" fillId="0" borderId="0"/>
    <xf numFmtId="0" fontId="50" fillId="0" borderId="0"/>
  </cellStyleXfs>
  <cellXfs count="483">
    <xf numFmtId="0" fontId="0" fillId="0" borderId="0" xfId="0"/>
    <xf numFmtId="0" fontId="7" fillId="0" borderId="0" xfId="0" applyFont="1"/>
    <xf numFmtId="0" fontId="0" fillId="0" borderId="0" xfId="0" applyAlignment="1">
      <alignment horizontal="right" vertical="center"/>
    </xf>
    <xf numFmtId="0" fontId="0" fillId="0" borderId="0" xfId="0" applyAlignment="1">
      <alignment horizontal="center"/>
    </xf>
    <xf numFmtId="0" fontId="0" fillId="0" borderId="0" xfId="0" applyAlignment="1">
      <alignment horizontal="left" vertical="center"/>
    </xf>
    <xf numFmtId="2" fontId="9" fillId="0" borderId="0" xfId="0" applyNumberFormat="1" applyFont="1" applyAlignment="1">
      <alignment horizontal="right" vertical="center"/>
    </xf>
    <xf numFmtId="0" fontId="9" fillId="0" borderId="0" xfId="0" applyFont="1"/>
    <xf numFmtId="0" fontId="9" fillId="0" borderId="0" xfId="0" applyFont="1" applyAlignment="1">
      <alignment horizontal="center"/>
    </xf>
    <xf numFmtId="0" fontId="9" fillId="0" borderId="2" xfId="0" applyFont="1" applyBorder="1" applyAlignment="1">
      <alignment horizontal="center" vertical="center" wrapText="1"/>
    </xf>
    <xf numFmtId="0" fontId="9" fillId="0" borderId="0" xfId="0" applyFont="1" applyAlignment="1">
      <alignment horizontal="center" vertical="center" wrapText="1"/>
    </xf>
    <xf numFmtId="0" fontId="9" fillId="0" borderId="3" xfId="0" applyFont="1" applyBorder="1" applyAlignment="1">
      <alignment horizontal="center" vertical="center" wrapText="1"/>
    </xf>
    <xf numFmtId="0" fontId="11" fillId="0" borderId="0" xfId="0" applyFont="1" applyAlignment="1">
      <alignment horizontal="center"/>
    </xf>
    <xf numFmtId="0" fontId="11" fillId="2" borderId="0" xfId="0" applyFont="1" applyFill="1" applyAlignment="1">
      <alignment horizontal="center"/>
    </xf>
    <xf numFmtId="2" fontId="11" fillId="3" borderId="0" xfId="0" applyNumberFormat="1" applyFont="1" applyFill="1" applyAlignment="1">
      <alignment horizontal="center"/>
    </xf>
    <xf numFmtId="164" fontId="11" fillId="2" borderId="0" xfId="0" applyNumberFormat="1" applyFont="1" applyFill="1" applyAlignment="1">
      <alignment horizontal="center"/>
    </xf>
    <xf numFmtId="0" fontId="11" fillId="0" borderId="0" xfId="0" applyFont="1" applyAlignment="1">
      <alignment horizontal="right" vertical="top"/>
    </xf>
    <xf numFmtId="0" fontId="9" fillId="4" borderId="0" xfId="0" applyFont="1" applyFill="1"/>
    <xf numFmtId="0" fontId="9" fillId="4" borderId="0" xfId="0" applyFont="1" applyFill="1" applyAlignment="1">
      <alignment horizontal="center"/>
    </xf>
    <xf numFmtId="0" fontId="0" fillId="4" borderId="0" xfId="0" applyFill="1"/>
    <xf numFmtId="0" fontId="0" fillId="4" borderId="0" xfId="0" applyFill="1" applyAlignment="1">
      <alignment horizontal="center"/>
    </xf>
    <xf numFmtId="0" fontId="9" fillId="0" borderId="1" xfId="0" applyFont="1" applyBorder="1" applyAlignment="1">
      <alignment horizontal="center" vertical="center" wrapText="1"/>
    </xf>
    <xf numFmtId="2" fontId="9" fillId="0" borderId="1" xfId="0" applyNumberFormat="1" applyFont="1" applyBorder="1" applyAlignment="1">
      <alignment horizontal="center" vertical="center" wrapText="1"/>
    </xf>
    <xf numFmtId="1" fontId="9" fillId="0" borderId="1" xfId="0" applyNumberFormat="1" applyFont="1" applyBorder="1" applyAlignment="1" applyProtection="1">
      <alignment horizontal="center" vertical="center" wrapText="1"/>
      <protection locked="0"/>
    </xf>
    <xf numFmtId="0" fontId="9" fillId="0" borderId="1" xfId="0" applyFont="1" applyBorder="1" applyAlignment="1" applyProtection="1">
      <alignment horizontal="center" vertical="center" wrapText="1"/>
      <protection locked="0"/>
    </xf>
    <xf numFmtId="0" fontId="9" fillId="0" borderId="1" xfId="0" applyFont="1" applyBorder="1" applyAlignment="1" applyProtection="1">
      <alignment horizontal="left" vertical="center" wrapText="1"/>
      <protection locked="0"/>
    </xf>
    <xf numFmtId="0" fontId="9" fillId="2" borderId="1" xfId="0" applyFont="1" applyFill="1" applyBorder="1" applyAlignment="1" applyProtection="1">
      <alignment horizontal="right" vertical="center"/>
      <protection locked="0"/>
    </xf>
    <xf numFmtId="0" fontId="9" fillId="5" borderId="1" xfId="0" applyFont="1" applyFill="1" applyBorder="1" applyAlignment="1" applyProtection="1">
      <alignment horizontal="right" vertical="center"/>
      <protection locked="0"/>
    </xf>
    <xf numFmtId="0" fontId="8" fillId="2" borderId="1" xfId="0" applyFont="1" applyFill="1" applyBorder="1" applyAlignment="1">
      <alignment horizontal="center" vertical="center" wrapText="1"/>
    </xf>
    <xf numFmtId="2" fontId="9" fillId="0" borderId="1" xfId="0" applyNumberFormat="1" applyFont="1" applyBorder="1" applyAlignment="1" applyProtection="1">
      <alignment horizontal="right" vertical="center"/>
      <protection locked="0"/>
    </xf>
    <xf numFmtId="165" fontId="9" fillId="6" borderId="1" xfId="0" quotePrefix="1" applyNumberFormat="1" applyFont="1" applyFill="1" applyBorder="1" applyAlignment="1">
      <alignment horizontal="right" vertical="center" shrinkToFit="1"/>
    </xf>
    <xf numFmtId="2" fontId="9" fillId="0" borderId="1" xfId="0" applyNumberFormat="1" applyFont="1" applyBorder="1" applyAlignment="1">
      <alignment horizontal="center" vertical="center" shrinkToFit="1"/>
    </xf>
    <xf numFmtId="1" fontId="9" fillId="2" borderId="1" xfId="0" applyNumberFormat="1" applyFont="1" applyFill="1" applyBorder="1" applyAlignment="1" applyProtection="1">
      <alignment horizontal="right" vertical="center"/>
      <protection locked="0"/>
    </xf>
    <xf numFmtId="0" fontId="12" fillId="0" borderId="0" xfId="0" applyFont="1" applyAlignment="1">
      <alignment horizontal="center"/>
    </xf>
    <xf numFmtId="0" fontId="9" fillId="6" borderId="1" xfId="0" applyFont="1" applyFill="1" applyBorder="1" applyAlignment="1">
      <alignment horizontal="right" vertical="center" shrinkToFit="1"/>
    </xf>
    <xf numFmtId="0" fontId="9" fillId="6" borderId="1" xfId="0" applyFont="1" applyFill="1" applyBorder="1" applyAlignment="1">
      <alignment horizontal="center"/>
    </xf>
    <xf numFmtId="0" fontId="9" fillId="6" borderId="1" xfId="0" applyFont="1" applyFill="1" applyBorder="1" applyAlignment="1">
      <alignment horizontal="center" vertical="center" wrapText="1"/>
    </xf>
    <xf numFmtId="2" fontId="14" fillId="0" borderId="1" xfId="0" applyNumberFormat="1" applyFont="1" applyBorder="1" applyAlignment="1" applyProtection="1">
      <alignment horizontal="right" vertical="center"/>
      <protection locked="0"/>
    </xf>
    <xf numFmtId="40" fontId="14" fillId="0" borderId="1" xfId="0" applyNumberFormat="1" applyFont="1" applyBorder="1" applyAlignment="1" applyProtection="1">
      <alignment horizontal="right" vertical="center" shrinkToFit="1"/>
      <protection locked="0"/>
    </xf>
    <xf numFmtId="0" fontId="14" fillId="0" borderId="4" xfId="0" applyFont="1" applyBorder="1" applyAlignment="1" applyProtection="1">
      <alignment horizontal="right" vertical="center" shrinkToFit="1"/>
      <protection locked="0"/>
    </xf>
    <xf numFmtId="0" fontId="9" fillId="6" borderId="5" xfId="0" applyFont="1" applyFill="1" applyBorder="1" applyAlignment="1">
      <alignment horizontal="right" vertical="center" shrinkToFit="1"/>
    </xf>
    <xf numFmtId="1" fontId="9" fillId="0" borderId="6" xfId="0" applyNumberFormat="1" applyFont="1" applyBorder="1" applyAlignment="1">
      <alignment horizontal="center" vertical="center" shrinkToFit="1"/>
    </xf>
    <xf numFmtId="0" fontId="14" fillId="0" borderId="7" xfId="0" applyFont="1" applyBorder="1" applyAlignment="1" applyProtection="1">
      <alignment horizontal="right" vertical="center" shrinkToFit="1"/>
      <protection locked="0"/>
    </xf>
    <xf numFmtId="1" fontId="9" fillId="0" borderId="8" xfId="0" applyNumberFormat="1" applyFont="1" applyBorder="1" applyAlignment="1">
      <alignment horizontal="center" vertical="center" shrinkToFit="1"/>
    </xf>
    <xf numFmtId="0" fontId="14" fillId="0" borderId="9" xfId="0" applyFont="1" applyBorder="1" applyAlignment="1" applyProtection="1">
      <alignment horizontal="right" vertical="center" shrinkToFit="1"/>
      <protection locked="0"/>
    </xf>
    <xf numFmtId="0" fontId="9" fillId="6" borderId="10" xfId="0" applyFont="1" applyFill="1" applyBorder="1" applyAlignment="1">
      <alignment horizontal="right" vertical="center" shrinkToFit="1"/>
    </xf>
    <xf numFmtId="1" fontId="9" fillId="0" borderId="11" xfId="0" applyNumberFormat="1" applyFont="1" applyBorder="1" applyAlignment="1">
      <alignment horizontal="center" vertical="center" shrinkToFit="1"/>
    </xf>
    <xf numFmtId="0" fontId="9" fillId="0" borderId="12" xfId="0" applyFont="1" applyBorder="1" applyAlignment="1">
      <alignment horizontal="center" vertical="center" wrapText="1"/>
    </xf>
    <xf numFmtId="0" fontId="9" fillId="2" borderId="0" xfId="0" applyFont="1" applyFill="1"/>
    <xf numFmtId="0" fontId="0" fillId="2" borderId="0" xfId="0" applyFill="1"/>
    <xf numFmtId="0" fontId="9" fillId="0" borderId="13" xfId="0" applyFont="1" applyBorder="1" applyAlignment="1">
      <alignment horizontal="center" vertical="center" wrapText="1"/>
    </xf>
    <xf numFmtId="0" fontId="9" fillId="0" borderId="0" xfId="0" applyFont="1" applyAlignment="1" applyProtection="1">
      <alignment horizontal="center" vertical="center" textRotation="255" wrapText="1"/>
      <protection locked="0"/>
    </xf>
    <xf numFmtId="0" fontId="9" fillId="0" borderId="0" xfId="0" applyFont="1" applyAlignment="1" applyProtection="1">
      <alignment horizontal="left" vertical="center" wrapText="1"/>
      <protection locked="0"/>
    </xf>
    <xf numFmtId="0" fontId="9" fillId="0" borderId="0" xfId="0" applyFont="1" applyAlignment="1" applyProtection="1">
      <alignment horizontal="center" vertical="center" wrapText="1"/>
      <protection locked="0"/>
    </xf>
    <xf numFmtId="0" fontId="0" fillId="7" borderId="0" xfId="0" applyFill="1"/>
    <xf numFmtId="2" fontId="9" fillId="0" borderId="1" xfId="0" applyNumberFormat="1" applyFont="1" applyBorder="1" applyAlignment="1">
      <alignment horizontal="right" vertical="center" shrinkToFit="1"/>
    </xf>
    <xf numFmtId="0" fontId="9" fillId="6" borderId="12" xfId="0" applyFont="1" applyFill="1" applyBorder="1" applyAlignment="1">
      <alignment horizontal="center" vertical="center" wrapText="1"/>
    </xf>
    <xf numFmtId="0" fontId="14" fillId="0" borderId="14" xfId="0" applyFont="1" applyBorder="1" applyAlignment="1" applyProtection="1">
      <alignment horizontal="right" vertical="center" shrinkToFit="1"/>
      <protection locked="0"/>
    </xf>
    <xf numFmtId="0" fontId="9" fillId="0" borderId="15" xfId="0" applyFont="1" applyBorder="1" applyAlignment="1">
      <alignment horizontal="right" vertical="center" shrinkToFit="1"/>
    </xf>
    <xf numFmtId="0" fontId="9" fillId="0" borderId="16" xfId="0" applyFont="1" applyBorder="1" applyAlignment="1">
      <alignment horizontal="right" vertical="center" shrinkToFit="1"/>
    </xf>
    <xf numFmtId="0" fontId="14" fillId="0" borderId="17" xfId="0" applyFont="1" applyBorder="1" applyAlignment="1" applyProtection="1">
      <alignment horizontal="right" vertical="center" shrinkToFit="1"/>
      <protection locked="0"/>
    </xf>
    <xf numFmtId="0" fontId="9" fillId="0" borderId="18" xfId="0" applyFont="1" applyBorder="1" applyAlignment="1">
      <alignment horizontal="right" vertical="center" shrinkToFit="1"/>
    </xf>
    <xf numFmtId="0" fontId="9" fillId="0" borderId="19" xfId="0" applyFont="1" applyBorder="1" applyAlignment="1">
      <alignment horizontal="right" vertical="center" shrinkToFit="1"/>
    </xf>
    <xf numFmtId="0" fontId="14" fillId="0" borderId="20" xfId="0" applyFont="1" applyBorder="1" applyAlignment="1" applyProtection="1">
      <alignment horizontal="right" vertical="center" shrinkToFit="1"/>
      <protection locked="0"/>
    </xf>
    <xf numFmtId="0" fontId="9" fillId="0" borderId="21" xfId="0" applyFont="1" applyBorder="1" applyAlignment="1">
      <alignment horizontal="right" vertical="center" shrinkToFit="1"/>
    </xf>
    <xf numFmtId="0" fontId="9" fillId="0" borderId="22" xfId="0" applyFont="1" applyBorder="1" applyAlignment="1">
      <alignment horizontal="right" vertical="center" shrinkToFit="1"/>
    </xf>
    <xf numFmtId="2" fontId="9" fillId="0" borderId="4" xfId="0" applyNumberFormat="1" applyFont="1" applyBorder="1" applyAlignment="1">
      <alignment horizontal="right" vertical="center" shrinkToFit="1"/>
    </xf>
    <xf numFmtId="2" fontId="9" fillId="0" borderId="5" xfId="0" applyNumberFormat="1" applyFont="1" applyBorder="1" applyAlignment="1">
      <alignment horizontal="right" vertical="center" shrinkToFit="1"/>
    </xf>
    <xf numFmtId="2" fontId="9" fillId="0" borderId="6" xfId="0" applyNumberFormat="1" applyFont="1" applyBorder="1" applyAlignment="1">
      <alignment horizontal="right" vertical="center" shrinkToFit="1"/>
    </xf>
    <xf numFmtId="2" fontId="9" fillId="0" borderId="7" xfId="0" applyNumberFormat="1" applyFont="1" applyBorder="1" applyAlignment="1">
      <alignment horizontal="right" vertical="center" shrinkToFit="1"/>
    </xf>
    <xf numFmtId="2" fontId="9" fillId="0" borderId="8" xfId="0" applyNumberFormat="1" applyFont="1" applyBorder="1" applyAlignment="1">
      <alignment horizontal="right" vertical="center" shrinkToFit="1"/>
    </xf>
    <xf numFmtId="2" fontId="9" fillId="0" borderId="9" xfId="0" applyNumberFormat="1" applyFont="1" applyBorder="1" applyAlignment="1">
      <alignment horizontal="right" vertical="center" shrinkToFit="1"/>
    </xf>
    <xf numFmtId="2" fontId="9" fillId="0" borderId="10" xfId="0" applyNumberFormat="1" applyFont="1" applyBorder="1" applyAlignment="1">
      <alignment horizontal="right" vertical="center" shrinkToFit="1"/>
    </xf>
    <xf numFmtId="2" fontId="9" fillId="0" borderId="11" xfId="0" applyNumberFormat="1" applyFont="1" applyBorder="1" applyAlignment="1">
      <alignment horizontal="right" vertical="center" shrinkToFit="1"/>
    </xf>
    <xf numFmtId="0" fontId="9" fillId="0" borderId="2" xfId="0" applyFont="1" applyBorder="1" applyAlignment="1">
      <alignment horizontal="right" vertical="center" wrapText="1"/>
    </xf>
    <xf numFmtId="0" fontId="14" fillId="0" borderId="6" xfId="0" applyFont="1" applyBorder="1" applyAlignment="1" applyProtection="1">
      <alignment horizontal="center" vertical="center" wrapText="1"/>
      <protection locked="0"/>
    </xf>
    <xf numFmtId="0" fontId="14" fillId="0" borderId="8" xfId="0" applyFont="1" applyBorder="1" applyAlignment="1" applyProtection="1">
      <alignment horizontal="center" vertical="center" wrapText="1"/>
      <protection locked="0"/>
    </xf>
    <xf numFmtId="0" fontId="14" fillId="0" borderId="11" xfId="0" applyFont="1" applyBorder="1" applyAlignment="1" applyProtection="1">
      <alignment horizontal="center" vertical="center" wrapText="1"/>
      <protection locked="0"/>
    </xf>
    <xf numFmtId="0" fontId="13" fillId="0" borderId="23" xfId="0" applyFont="1" applyBorder="1" applyAlignment="1">
      <alignment horizontal="center" vertical="center" shrinkToFit="1"/>
    </xf>
    <xf numFmtId="0" fontId="13" fillId="0" borderId="24" xfId="0" applyFont="1" applyBorder="1" applyAlignment="1">
      <alignment horizontal="center" vertical="center" shrinkToFit="1"/>
    </xf>
    <xf numFmtId="0" fontId="13" fillId="0" borderId="25" xfId="0" applyFont="1" applyBorder="1" applyAlignment="1">
      <alignment horizontal="center" vertical="center" shrinkToFit="1"/>
    </xf>
    <xf numFmtId="0" fontId="9" fillId="0" borderId="1" xfId="0" applyFont="1" applyBorder="1" applyAlignment="1" applyProtection="1">
      <alignment horizontal="right" vertical="center" wrapText="1"/>
      <protection locked="0"/>
    </xf>
    <xf numFmtId="0" fontId="17" fillId="2" borderId="0" xfId="0" applyFont="1" applyFill="1"/>
    <xf numFmtId="0" fontId="9" fillId="8" borderId="0" xfId="0" applyFont="1" applyFill="1"/>
    <xf numFmtId="0" fontId="17" fillId="8" borderId="0" xfId="0" applyFont="1" applyFill="1"/>
    <xf numFmtId="0" fontId="0" fillId="8" borderId="0" xfId="0" applyFill="1"/>
    <xf numFmtId="0" fontId="17" fillId="2" borderId="0" xfId="0" applyFont="1" applyFill="1" applyAlignment="1">
      <alignment horizontal="center" vertical="center" wrapText="1"/>
    </xf>
    <xf numFmtId="0" fontId="9" fillId="0" borderId="26" xfId="0" applyFont="1" applyBorder="1" applyAlignment="1">
      <alignment horizontal="center" vertical="center" wrapText="1"/>
    </xf>
    <xf numFmtId="0" fontId="9" fillId="0" borderId="26" xfId="0" applyFont="1" applyBorder="1" applyAlignment="1">
      <alignment vertical="center" wrapText="1"/>
    </xf>
    <xf numFmtId="0" fontId="10" fillId="0" borderId="2" xfId="0" applyFont="1" applyBorder="1" applyAlignment="1" applyProtection="1">
      <alignment vertical="center" wrapText="1"/>
      <protection locked="0"/>
    </xf>
    <xf numFmtId="0" fontId="10" fillId="0" borderId="27" xfId="0" applyFont="1" applyBorder="1" applyAlignment="1" applyProtection="1">
      <alignment vertical="center" wrapText="1"/>
      <protection locked="0"/>
    </xf>
    <xf numFmtId="0" fontId="9" fillId="0" borderId="14" xfId="0" applyFont="1" applyBorder="1" applyAlignment="1" applyProtection="1">
      <alignment horizontal="right" vertical="center" shrinkToFit="1"/>
      <protection locked="0"/>
    </xf>
    <xf numFmtId="0" fontId="9" fillId="0" borderId="17" xfId="0" applyFont="1" applyBorder="1" applyAlignment="1" applyProtection="1">
      <alignment horizontal="right" vertical="center" shrinkToFit="1"/>
      <protection locked="0"/>
    </xf>
    <xf numFmtId="0" fontId="9" fillId="0" borderId="20" xfId="0" applyFont="1" applyBorder="1" applyAlignment="1" applyProtection="1">
      <alignment horizontal="right" vertical="center" shrinkToFit="1"/>
      <protection locked="0"/>
    </xf>
    <xf numFmtId="2" fontId="9" fillId="0" borderId="14" xfId="0" applyNumberFormat="1" applyFont="1" applyBorder="1" applyAlignment="1" applyProtection="1">
      <alignment horizontal="right" vertical="center" shrinkToFit="1"/>
      <protection locked="0"/>
    </xf>
    <xf numFmtId="2" fontId="9" fillId="0" borderId="15" xfId="0" applyNumberFormat="1" applyFont="1" applyBorder="1" applyAlignment="1">
      <alignment horizontal="right" vertical="center" shrinkToFit="1"/>
    </xf>
    <xf numFmtId="2" fontId="9" fillId="0" borderId="16" xfId="0" applyNumberFormat="1" applyFont="1" applyBorder="1" applyAlignment="1">
      <alignment horizontal="right" vertical="center" shrinkToFit="1"/>
    </xf>
    <xf numFmtId="2" fontId="9" fillId="0" borderId="17" xfId="0" applyNumberFormat="1" applyFont="1" applyBorder="1" applyAlignment="1" applyProtection="1">
      <alignment horizontal="right" vertical="center" shrinkToFit="1"/>
      <protection locked="0"/>
    </xf>
    <xf numFmtId="2" fontId="9" fillId="0" borderId="18" xfId="0" applyNumberFormat="1" applyFont="1" applyBorder="1" applyAlignment="1">
      <alignment horizontal="right" vertical="center" shrinkToFit="1"/>
    </xf>
    <xf numFmtId="2" fontId="9" fillId="0" borderId="19" xfId="0" applyNumberFormat="1" applyFont="1" applyBorder="1" applyAlignment="1">
      <alignment horizontal="right" vertical="center" shrinkToFit="1"/>
    </xf>
    <xf numFmtId="2" fontId="9" fillId="0" borderId="20" xfId="0" applyNumberFormat="1" applyFont="1" applyBorder="1" applyAlignment="1" applyProtection="1">
      <alignment horizontal="right" vertical="center" shrinkToFit="1"/>
      <protection locked="0"/>
    </xf>
    <xf numFmtId="2" fontId="9" fillId="0" borderId="21" xfId="0" applyNumberFormat="1" applyFont="1" applyBorder="1" applyAlignment="1">
      <alignment horizontal="right" vertical="center" shrinkToFit="1"/>
    </xf>
    <xf numFmtId="2" fontId="9" fillId="0" borderId="22" xfId="0" applyNumberFormat="1" applyFont="1" applyBorder="1" applyAlignment="1">
      <alignment horizontal="right" vertical="center" shrinkToFit="1"/>
    </xf>
    <xf numFmtId="0" fontId="9" fillId="2" borderId="2" xfId="0" applyFont="1" applyFill="1" applyBorder="1" applyAlignment="1" applyProtection="1">
      <alignment horizontal="right" vertical="center"/>
      <protection locked="0"/>
    </xf>
    <xf numFmtId="165" fontId="9" fillId="8" borderId="13" xfId="0" applyNumberFormat="1" applyFont="1" applyFill="1" applyBorder="1" applyAlignment="1">
      <alignment horizontal="center" vertical="center" shrinkToFit="1"/>
    </xf>
    <xf numFmtId="2" fontId="9" fillId="0" borderId="14" xfId="0" applyNumberFormat="1" applyFont="1" applyBorder="1" applyAlignment="1">
      <alignment horizontal="center" vertical="center" shrinkToFit="1"/>
    </xf>
    <xf numFmtId="0" fontId="8" fillId="2" borderId="15" xfId="0" applyFont="1" applyFill="1" applyBorder="1" applyAlignment="1">
      <alignment horizontal="center" vertical="center" wrapText="1"/>
    </xf>
    <xf numFmtId="2" fontId="9" fillId="0" borderId="15" xfId="0" applyNumberFormat="1" applyFont="1" applyBorder="1" applyAlignment="1">
      <alignment horizontal="center" vertical="center" shrinkToFit="1"/>
    </xf>
    <xf numFmtId="2" fontId="14" fillId="0" borderId="15" xfId="0" applyNumberFormat="1" applyFont="1" applyBorder="1" applyAlignment="1" applyProtection="1">
      <alignment horizontal="right" vertical="center"/>
      <protection locked="0"/>
    </xf>
    <xf numFmtId="40" fontId="14" fillId="0" borderId="15" xfId="0" applyNumberFormat="1" applyFont="1" applyBorder="1" applyAlignment="1" applyProtection="1">
      <alignment horizontal="right" vertical="center" shrinkToFit="1"/>
      <protection locked="0"/>
    </xf>
    <xf numFmtId="2" fontId="18" fillId="8" borderId="15" xfId="0" quotePrefix="1" applyNumberFormat="1" applyFont="1" applyFill="1" applyBorder="1" applyAlignment="1">
      <alignment horizontal="right" vertical="center" shrinkToFit="1"/>
    </xf>
    <xf numFmtId="40" fontId="9" fillId="8" borderId="15" xfId="0" applyNumberFormat="1" applyFont="1" applyFill="1" applyBorder="1" applyAlignment="1" applyProtection="1">
      <alignment horizontal="right" vertical="center" shrinkToFit="1"/>
      <protection locked="0"/>
    </xf>
    <xf numFmtId="40" fontId="14" fillId="8" borderId="15" xfId="0" applyNumberFormat="1" applyFont="1" applyFill="1" applyBorder="1" applyAlignment="1" applyProtection="1">
      <alignment horizontal="right" vertical="center" shrinkToFit="1"/>
      <protection locked="0"/>
    </xf>
    <xf numFmtId="1" fontId="9" fillId="8" borderId="15" xfId="0" applyNumberFormat="1" applyFont="1" applyFill="1" applyBorder="1" applyAlignment="1">
      <alignment horizontal="center" vertical="center" wrapText="1"/>
    </xf>
    <xf numFmtId="2" fontId="9" fillId="0" borderId="16" xfId="0" applyNumberFormat="1" applyFont="1" applyBorder="1" applyAlignment="1">
      <alignment horizontal="center" vertical="center" shrinkToFit="1"/>
    </xf>
    <xf numFmtId="2" fontId="9" fillId="0" borderId="17" xfId="0" applyNumberFormat="1" applyFont="1" applyBorder="1" applyAlignment="1">
      <alignment horizontal="center" vertical="center" shrinkToFit="1"/>
    </xf>
    <xf numFmtId="0" fontId="8" fillId="2" borderId="18" xfId="0" applyFont="1" applyFill="1" applyBorder="1" applyAlignment="1">
      <alignment horizontal="center" vertical="center" wrapText="1"/>
    </xf>
    <xf numFmtId="2" fontId="9" fillId="0" borderId="18" xfId="0" applyNumberFormat="1" applyFont="1" applyBorder="1" applyAlignment="1">
      <alignment horizontal="center" vertical="center" shrinkToFit="1"/>
    </xf>
    <xf numFmtId="2" fontId="14" fillId="0" borderId="18" xfId="0" applyNumberFormat="1" applyFont="1" applyBorder="1" applyAlignment="1" applyProtection="1">
      <alignment horizontal="right" vertical="center"/>
      <protection locked="0"/>
    </xf>
    <xf numFmtId="40" fontId="14" fillId="0" borderId="18" xfId="0" applyNumberFormat="1" applyFont="1" applyBorder="1" applyAlignment="1" applyProtection="1">
      <alignment horizontal="right" vertical="center" shrinkToFit="1"/>
      <protection locked="0"/>
    </xf>
    <xf numFmtId="2" fontId="18" fillId="8" borderId="18" xfId="0" quotePrefix="1" applyNumberFormat="1" applyFont="1" applyFill="1" applyBorder="1" applyAlignment="1">
      <alignment horizontal="right" vertical="center" shrinkToFit="1"/>
    </xf>
    <xf numFmtId="40" fontId="9" fillId="8" borderId="18" xfId="0" applyNumberFormat="1" applyFont="1" applyFill="1" applyBorder="1" applyAlignment="1" applyProtection="1">
      <alignment horizontal="right" vertical="center" shrinkToFit="1"/>
      <protection locked="0"/>
    </xf>
    <xf numFmtId="40" fontId="14" fillId="8" borderId="18" xfId="0" applyNumberFormat="1" applyFont="1" applyFill="1" applyBorder="1" applyAlignment="1" applyProtection="1">
      <alignment horizontal="right" vertical="center" shrinkToFit="1"/>
      <protection locked="0"/>
    </xf>
    <xf numFmtId="1" fontId="9" fillId="8" borderId="18" xfId="0" applyNumberFormat="1" applyFont="1" applyFill="1" applyBorder="1" applyAlignment="1">
      <alignment horizontal="center" vertical="center" wrapText="1"/>
    </xf>
    <xf numFmtId="2" fontId="9" fillId="0" borderId="19" xfId="0" applyNumberFormat="1" applyFont="1" applyBorder="1" applyAlignment="1">
      <alignment horizontal="center" vertical="center" shrinkToFit="1"/>
    </xf>
    <xf numFmtId="2" fontId="9" fillId="0" borderId="20" xfId="0" applyNumberFormat="1" applyFont="1" applyBorder="1" applyAlignment="1">
      <alignment horizontal="center" vertical="center" shrinkToFit="1"/>
    </xf>
    <xf numFmtId="0" fontId="8" fillId="2" borderId="21" xfId="0" applyFont="1" applyFill="1" applyBorder="1" applyAlignment="1">
      <alignment horizontal="center" vertical="center" wrapText="1"/>
    </xf>
    <xf numFmtId="2" fontId="9" fillId="0" borderId="21" xfId="0" applyNumberFormat="1" applyFont="1" applyBorder="1" applyAlignment="1">
      <alignment horizontal="center" vertical="center" shrinkToFit="1"/>
    </xf>
    <xf numFmtId="2" fontId="14" fillId="0" borderId="21" xfId="0" applyNumberFormat="1" applyFont="1" applyBorder="1" applyAlignment="1" applyProtection="1">
      <alignment horizontal="right" vertical="center"/>
      <protection locked="0"/>
    </xf>
    <xf numFmtId="40" fontId="14" fillId="0" borderId="21" xfId="0" applyNumberFormat="1" applyFont="1" applyBorder="1" applyAlignment="1" applyProtection="1">
      <alignment horizontal="right" vertical="center" shrinkToFit="1"/>
      <protection locked="0"/>
    </xf>
    <xf numFmtId="2" fontId="18" fillId="8" borderId="21" xfId="0" quotePrefix="1" applyNumberFormat="1" applyFont="1" applyFill="1" applyBorder="1" applyAlignment="1">
      <alignment horizontal="right" vertical="center" shrinkToFit="1"/>
    </xf>
    <xf numFmtId="40" fontId="9" fillId="8" borderId="21" xfId="0" applyNumberFormat="1" applyFont="1" applyFill="1" applyBorder="1" applyAlignment="1" applyProtection="1">
      <alignment horizontal="right" vertical="center" shrinkToFit="1"/>
      <protection locked="0"/>
    </xf>
    <xf numFmtId="40" fontId="14" fillId="8" borderId="21" xfId="0" applyNumberFormat="1" applyFont="1" applyFill="1" applyBorder="1" applyAlignment="1" applyProtection="1">
      <alignment horizontal="right" vertical="center" shrinkToFit="1"/>
      <protection locked="0"/>
    </xf>
    <xf numFmtId="1" fontId="9" fillId="8" borderId="21" xfId="0" applyNumberFormat="1" applyFont="1" applyFill="1" applyBorder="1" applyAlignment="1">
      <alignment horizontal="center" vertical="center" wrapText="1"/>
    </xf>
    <xf numFmtId="2" fontId="9" fillId="0" borderId="22" xfId="0" applyNumberFormat="1" applyFont="1" applyBorder="1" applyAlignment="1">
      <alignment horizontal="center" vertical="center" shrinkToFit="1"/>
    </xf>
    <xf numFmtId="0" fontId="9" fillId="0" borderId="15" xfId="0" applyFont="1" applyBorder="1" applyAlignment="1">
      <alignment horizontal="center" vertical="center" shrinkToFit="1"/>
    </xf>
    <xf numFmtId="0" fontId="9" fillId="0" borderId="18" xfId="0" applyFont="1" applyBorder="1" applyAlignment="1">
      <alignment horizontal="center" vertical="center" shrinkToFit="1"/>
    </xf>
    <xf numFmtId="0" fontId="9" fillId="0" borderId="21" xfId="0" applyFont="1" applyBorder="1" applyAlignment="1">
      <alignment horizontal="center" vertical="center" shrinkToFit="1"/>
    </xf>
    <xf numFmtId="0" fontId="14" fillId="0" borderId="16" xfId="0" applyFont="1" applyBorder="1" applyAlignment="1" applyProtection="1">
      <alignment horizontal="right" vertical="center" shrinkToFit="1"/>
      <protection locked="0"/>
    </xf>
    <xf numFmtId="0" fontId="14" fillId="0" borderId="19" xfId="0" applyFont="1" applyBorder="1" applyAlignment="1" applyProtection="1">
      <alignment horizontal="right" vertical="center" shrinkToFit="1"/>
      <protection locked="0"/>
    </xf>
    <xf numFmtId="0" fontId="14" fillId="0" borderId="22" xfId="0" applyFont="1" applyBorder="1" applyAlignment="1" applyProtection="1">
      <alignment horizontal="right" vertical="center" shrinkToFit="1"/>
      <protection locked="0"/>
    </xf>
    <xf numFmtId="2" fontId="20" fillId="0" borderId="0" xfId="0" applyNumberFormat="1" applyFont="1"/>
    <xf numFmtId="0" fontId="19" fillId="0" borderId="18" xfId="0" applyFont="1" applyBorder="1" applyAlignment="1" applyProtection="1">
      <alignment horizontal="center" vertical="center"/>
      <protection locked="0"/>
    </xf>
    <xf numFmtId="0" fontId="21" fillId="0" borderId="1" xfId="0" applyFont="1" applyBorder="1" applyAlignment="1" applyProtection="1">
      <alignment horizontal="center" vertical="center" wrapText="1"/>
      <protection locked="0"/>
    </xf>
    <xf numFmtId="0" fontId="22" fillId="0" borderId="1" xfId="0" applyFont="1" applyBorder="1" applyAlignment="1" applyProtection="1">
      <alignment horizontal="left" vertical="center" wrapText="1"/>
      <protection locked="0"/>
    </xf>
    <xf numFmtId="0" fontId="22" fillId="0" borderId="18" xfId="0" applyFont="1" applyBorder="1" applyAlignment="1">
      <alignment horizontal="left" vertical="justify" wrapText="1"/>
    </xf>
    <xf numFmtId="2" fontId="9" fillId="2" borderId="2"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9" fillId="2" borderId="0" xfId="0" applyFont="1" applyFill="1" applyAlignment="1">
      <alignment horizontal="center" vertical="center" wrapText="1"/>
    </xf>
    <xf numFmtId="2" fontId="9" fillId="2" borderId="1" xfId="0" applyNumberFormat="1" applyFont="1" applyFill="1" applyBorder="1" applyAlignment="1">
      <alignment horizontal="center" vertical="center" wrapText="1"/>
    </xf>
    <xf numFmtId="0" fontId="9" fillId="0" borderId="0" xfId="0" applyFont="1" applyAlignment="1">
      <alignment vertical="center" wrapText="1"/>
    </xf>
    <xf numFmtId="2" fontId="9" fillId="2" borderId="13" xfId="0" applyNumberFormat="1" applyFont="1" applyFill="1" applyBorder="1" applyAlignment="1">
      <alignment horizontal="center" vertical="center" wrapText="1"/>
    </xf>
    <xf numFmtId="1" fontId="9" fillId="0" borderId="1" xfId="0" applyNumberFormat="1" applyFont="1" applyBorder="1" applyAlignment="1">
      <alignment horizontal="center" vertical="center"/>
    </xf>
    <xf numFmtId="165" fontId="18" fillId="0" borderId="1" xfId="0" applyNumberFormat="1" applyFont="1" applyBorder="1" applyAlignment="1">
      <alignment horizontal="center" vertical="center" wrapText="1"/>
    </xf>
    <xf numFmtId="165" fontId="9" fillId="0" borderId="1" xfId="0" applyNumberFormat="1" applyFont="1" applyBorder="1" applyAlignment="1">
      <alignment horizontal="center" vertical="center" wrapText="1"/>
    </xf>
    <xf numFmtId="0" fontId="6" fillId="0" borderId="0" xfId="0" applyFont="1"/>
    <xf numFmtId="0" fontId="17" fillId="0" borderId="0" xfId="0" applyFont="1"/>
    <xf numFmtId="0" fontId="17" fillId="0" borderId="0" xfId="0" applyFont="1" applyAlignment="1">
      <alignment horizontal="center"/>
    </xf>
    <xf numFmtId="0" fontId="6" fillId="0" borderId="1" xfId="0" applyFont="1" applyBorder="1"/>
    <xf numFmtId="0" fontId="17" fillId="0" borderId="1" xfId="0" applyFont="1" applyBorder="1" applyAlignment="1">
      <alignment horizontal="center"/>
    </xf>
    <xf numFmtId="0" fontId="6" fillId="0" borderId="1" xfId="0" applyFont="1" applyBorder="1" applyAlignment="1">
      <alignment horizontal="center" vertical="center"/>
    </xf>
    <xf numFmtId="0" fontId="6" fillId="0" borderId="3" xfId="0" applyFont="1" applyBorder="1" applyAlignment="1">
      <alignment horizontal="center" vertical="center"/>
    </xf>
    <xf numFmtId="0" fontId="6" fillId="0" borderId="1" xfId="0" applyFont="1" applyBorder="1" applyAlignment="1">
      <alignment horizontal="left" vertical="center"/>
    </xf>
    <xf numFmtId="0" fontId="6" fillId="0" borderId="3" xfId="0" applyFont="1" applyBorder="1" applyAlignment="1">
      <alignment horizontal="left" vertical="center"/>
    </xf>
    <xf numFmtId="2" fontId="6" fillId="0" borderId="0" xfId="0" applyNumberFormat="1" applyFont="1"/>
    <xf numFmtId="165" fontId="6" fillId="0" borderId="1" xfId="0" applyNumberFormat="1" applyFont="1" applyBorder="1" applyAlignment="1">
      <alignment horizontal="center"/>
    </xf>
    <xf numFmtId="165" fontId="6" fillId="0" borderId="1" xfId="0" applyNumberFormat="1" applyFont="1" applyBorder="1" applyAlignment="1">
      <alignment horizontal="center" vertical="center"/>
    </xf>
    <xf numFmtId="165" fontId="6" fillId="0" borderId="3" xfId="0" applyNumberFormat="1" applyFont="1" applyBorder="1" applyAlignment="1">
      <alignment horizontal="center" vertical="center"/>
    </xf>
    <xf numFmtId="0" fontId="9" fillId="0" borderId="18" xfId="0" applyFont="1" applyBorder="1" applyAlignment="1">
      <alignment horizontal="center" vertical="center"/>
    </xf>
    <xf numFmtId="165" fontId="16" fillId="0" borderId="18" xfId="0" applyNumberFormat="1" applyFont="1" applyBorder="1" applyAlignment="1">
      <alignment horizontal="center" vertical="center"/>
    </xf>
    <xf numFmtId="0" fontId="16" fillId="0" borderId="18" xfId="0" applyFont="1" applyBorder="1" applyAlignment="1">
      <alignment horizontal="center" vertical="center"/>
    </xf>
    <xf numFmtId="2" fontId="9" fillId="0" borderId="28" xfId="0" applyNumberFormat="1" applyFont="1" applyBorder="1" applyAlignment="1">
      <alignment horizontal="center" vertical="center" shrinkToFit="1"/>
    </xf>
    <xf numFmtId="2" fontId="9" fillId="0" borderId="29" xfId="0" applyNumberFormat="1" applyFont="1" applyBorder="1" applyAlignment="1">
      <alignment horizontal="center" vertical="center" shrinkToFit="1"/>
    </xf>
    <xf numFmtId="2" fontId="9" fillId="0" borderId="30" xfId="0" applyNumberFormat="1" applyFont="1" applyBorder="1" applyAlignment="1">
      <alignment horizontal="center" vertical="center" shrinkToFit="1"/>
    </xf>
    <xf numFmtId="2" fontId="9" fillId="2" borderId="1" xfId="0" applyNumberFormat="1" applyFont="1" applyFill="1" applyBorder="1" applyAlignment="1">
      <alignment horizontal="center" vertical="center" shrinkToFit="1"/>
    </xf>
    <xf numFmtId="0" fontId="22" fillId="0" borderId="18" xfId="0" applyFont="1" applyBorder="1" applyAlignment="1" applyProtection="1">
      <alignment horizontal="left" vertical="justify" wrapText="1"/>
      <protection locked="0"/>
    </xf>
    <xf numFmtId="0" fontId="23" fillId="0" borderId="1" xfId="0" applyFont="1" applyBorder="1" applyAlignment="1" applyProtection="1">
      <alignment horizontal="left" vertical="center" wrapText="1"/>
      <protection locked="0"/>
    </xf>
    <xf numFmtId="166" fontId="0" fillId="0" borderId="0" xfId="0" applyNumberFormat="1"/>
    <xf numFmtId="0" fontId="9" fillId="0" borderId="32" xfId="0" applyFont="1" applyBorder="1"/>
    <xf numFmtId="0" fontId="9" fillId="0" borderId="33" xfId="0" applyFont="1" applyBorder="1"/>
    <xf numFmtId="0" fontId="9" fillId="11" borderId="31" xfId="0" applyFont="1" applyFill="1" applyBorder="1"/>
    <xf numFmtId="0" fontId="9" fillId="10" borderId="31" xfId="0" applyFont="1" applyFill="1" applyBorder="1"/>
    <xf numFmtId="0" fontId="9" fillId="12" borderId="31" xfId="0" applyFont="1" applyFill="1" applyBorder="1" applyAlignment="1">
      <alignment horizontal="center" vertical="center"/>
    </xf>
    <xf numFmtId="0" fontId="24" fillId="0" borderId="0" xfId="0" applyFont="1"/>
    <xf numFmtId="0" fontId="17" fillId="9" borderId="34" xfId="0" applyFont="1" applyFill="1" applyBorder="1" applyAlignment="1">
      <alignment horizontal="center" vertical="center"/>
    </xf>
    <xf numFmtId="0" fontId="24" fillId="9" borderId="34" xfId="0" applyFont="1" applyFill="1" applyBorder="1"/>
    <xf numFmtId="0" fontId="17" fillId="0" borderId="0" xfId="0" applyFont="1" applyAlignment="1">
      <alignment vertical="center"/>
    </xf>
    <xf numFmtId="0" fontId="6" fillId="0" borderId="0" xfId="0" applyFont="1" applyAlignment="1">
      <alignment horizontal="left" vertical="center" wrapText="1"/>
    </xf>
    <xf numFmtId="0" fontId="8" fillId="0" borderId="0" xfId="0" applyFont="1" applyAlignment="1">
      <alignment vertical="center"/>
    </xf>
    <xf numFmtId="167" fontId="6" fillId="0" borderId="0" xfId="0" applyNumberFormat="1" applyFont="1" applyAlignment="1">
      <alignment horizontal="right" vertical="center"/>
    </xf>
    <xf numFmtId="168" fontId="6" fillId="0" borderId="0" xfId="0" applyNumberFormat="1" applyFont="1" applyAlignment="1">
      <alignment horizontal="right" vertical="center"/>
    </xf>
    <xf numFmtId="167" fontId="6" fillId="13" borderId="0" xfId="0" applyNumberFormat="1" applyFont="1" applyFill="1" applyAlignment="1">
      <alignment horizontal="right" vertical="center"/>
    </xf>
    <xf numFmtId="167" fontId="17" fillId="0" borderId="35" xfId="0" applyNumberFormat="1" applyFont="1" applyBorder="1" applyAlignment="1">
      <alignment horizontal="right" vertical="center"/>
    </xf>
    <xf numFmtId="0" fontId="8" fillId="0" borderId="0" xfId="0" applyFont="1"/>
    <xf numFmtId="0" fontId="0" fillId="0" borderId="34" xfId="0" applyBorder="1"/>
    <xf numFmtId="167" fontId="6" fillId="0" borderId="34" xfId="0" applyNumberFormat="1" applyFont="1" applyBorder="1" applyAlignment="1">
      <alignment horizontal="right" vertical="center"/>
    </xf>
    <xf numFmtId="0" fontId="9" fillId="15" borderId="37" xfId="0" applyFont="1" applyFill="1" applyBorder="1"/>
    <xf numFmtId="164" fontId="8" fillId="15" borderId="38" xfId="2" applyNumberFormat="1" applyFill="1" applyBorder="1"/>
    <xf numFmtId="0" fontId="9" fillId="12" borderId="31" xfId="0" applyFont="1" applyFill="1" applyBorder="1" applyAlignment="1">
      <alignment horizontal="center"/>
    </xf>
    <xf numFmtId="3" fontId="0" fillId="10" borderId="31" xfId="0" applyNumberFormat="1" applyFill="1" applyBorder="1" applyAlignment="1">
      <alignment horizontal="center"/>
    </xf>
    <xf numFmtId="3" fontId="21" fillId="0" borderId="1" xfId="0" applyNumberFormat="1" applyFont="1" applyBorder="1" applyAlignment="1" applyProtection="1">
      <alignment horizontal="center" vertical="center" wrapText="1"/>
      <protection locked="0"/>
    </xf>
    <xf numFmtId="3" fontId="9" fillId="0" borderId="2" xfId="0" applyNumberFormat="1" applyFont="1" applyBorder="1" applyAlignment="1">
      <alignment horizontal="center" vertical="center" wrapText="1"/>
    </xf>
    <xf numFmtId="3" fontId="0" fillId="15" borderId="38" xfId="0" applyNumberFormat="1" applyFill="1" applyBorder="1"/>
    <xf numFmtId="3" fontId="9" fillId="0" borderId="1" xfId="0" applyNumberFormat="1" applyFont="1" applyBorder="1" applyAlignment="1">
      <alignment horizontal="center" vertical="center" wrapText="1"/>
    </xf>
    <xf numFmtId="3" fontId="9" fillId="2" borderId="2" xfId="0" applyNumberFormat="1" applyFont="1" applyFill="1" applyBorder="1" applyAlignment="1">
      <alignment horizontal="center" vertical="center" wrapText="1"/>
    </xf>
    <xf numFmtId="3" fontId="18" fillId="0" borderId="1" xfId="0" applyNumberFormat="1" applyFont="1" applyBorder="1" applyAlignment="1">
      <alignment horizontal="center" vertical="center" wrapText="1"/>
    </xf>
    <xf numFmtId="3" fontId="6" fillId="0" borderId="0" xfId="0" applyNumberFormat="1" applyFont="1" applyAlignment="1">
      <alignment horizontal="right" vertical="center"/>
    </xf>
    <xf numFmtId="0" fontId="6" fillId="0" borderId="0" xfId="0" applyFont="1" applyAlignment="1">
      <alignment vertical="center"/>
    </xf>
    <xf numFmtId="0" fontId="6" fillId="0" borderId="0" xfId="0" applyFont="1" applyAlignment="1">
      <alignment horizontal="right" vertical="center"/>
    </xf>
    <xf numFmtId="1" fontId="6" fillId="0" borderId="0" xfId="0" applyNumberFormat="1"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xf>
    <xf numFmtId="0" fontId="6" fillId="0" borderId="0" xfId="0" applyFont="1" applyAlignment="1">
      <alignment horizontal="justify" vertical="center"/>
    </xf>
    <xf numFmtId="0" fontId="6" fillId="0" borderId="0" xfId="0" applyFont="1" applyAlignment="1">
      <alignment horizontal="center" vertical="center"/>
    </xf>
    <xf numFmtId="0" fontId="0" fillId="0" borderId="0" xfId="0" applyAlignment="1">
      <alignment vertical="center"/>
    </xf>
    <xf numFmtId="169" fontId="0" fillId="0" borderId="0" xfId="0" applyNumberFormat="1" applyAlignment="1">
      <alignment vertical="center"/>
    </xf>
    <xf numFmtId="170" fontId="0" fillId="0" borderId="0" xfId="0" applyNumberFormat="1" applyAlignment="1">
      <alignment vertical="center"/>
    </xf>
    <xf numFmtId="0" fontId="24" fillId="0" borderId="0" xfId="0" applyFont="1" applyAlignment="1">
      <alignment vertical="center"/>
    </xf>
    <xf numFmtId="0" fontId="9" fillId="15" borderId="39" xfId="0" applyFont="1" applyFill="1" applyBorder="1" applyAlignment="1">
      <alignment vertical="center"/>
    </xf>
    <xf numFmtId="0" fontId="9" fillId="15" borderId="42" xfId="0" applyFont="1" applyFill="1" applyBorder="1" applyAlignment="1">
      <alignment vertical="center"/>
    </xf>
    <xf numFmtId="3" fontId="0" fillId="0" borderId="40" xfId="0" applyNumberFormat="1" applyBorder="1" applyAlignment="1">
      <alignment vertical="center"/>
    </xf>
    <xf numFmtId="0" fontId="9" fillId="15" borderId="43" xfId="0" applyFont="1" applyFill="1" applyBorder="1" applyAlignment="1">
      <alignment vertical="center"/>
    </xf>
    <xf numFmtId="171" fontId="0" fillId="0" borderId="41" xfId="0" applyNumberFormat="1" applyBorder="1" applyAlignment="1">
      <alignment vertical="center"/>
    </xf>
    <xf numFmtId="172" fontId="0" fillId="0" borderId="0" xfId="0" applyNumberFormat="1" applyAlignment="1">
      <alignment vertical="center"/>
    </xf>
    <xf numFmtId="3" fontId="0" fillId="0" borderId="0" xfId="0" applyNumberFormat="1" applyAlignment="1">
      <alignment vertical="center"/>
    </xf>
    <xf numFmtId="0" fontId="4" fillId="0" borderId="0" xfId="3"/>
    <xf numFmtId="0" fontId="25" fillId="0" borderId="0" xfId="3" applyFont="1"/>
    <xf numFmtId="0" fontId="26" fillId="0" borderId="0" xfId="3" applyFont="1"/>
    <xf numFmtId="0" fontId="27" fillId="0" borderId="0" xfId="3" applyFont="1"/>
    <xf numFmtId="0" fontId="28" fillId="0" borderId="0" xfId="3" applyFont="1"/>
    <xf numFmtId="0" fontId="29" fillId="0" borderId="0" xfId="3" applyFont="1" applyAlignment="1">
      <alignment vertical="center"/>
    </xf>
    <xf numFmtId="173" fontId="24" fillId="0" borderId="0" xfId="48" applyNumberFormat="1" applyFont="1" applyAlignment="1">
      <alignment horizontal="center"/>
    </xf>
    <xf numFmtId="173" fontId="0" fillId="0" borderId="0" xfId="48" applyNumberFormat="1" applyFont="1"/>
    <xf numFmtId="0" fontId="3" fillId="0" borderId="0" xfId="3" applyFont="1"/>
    <xf numFmtId="0" fontId="43" fillId="0" borderId="0" xfId="0" applyFont="1"/>
    <xf numFmtId="9" fontId="0" fillId="21" borderId="37" xfId="0" applyNumberFormat="1" applyFill="1" applyBorder="1"/>
    <xf numFmtId="9" fontId="0" fillId="21" borderId="33" xfId="0" applyNumberFormat="1" applyFill="1" applyBorder="1"/>
    <xf numFmtId="0" fontId="9" fillId="0" borderId="69" xfId="0" applyFont="1" applyBorder="1"/>
    <xf numFmtId="0" fontId="0" fillId="0" borderId="69" xfId="0" applyBorder="1"/>
    <xf numFmtId="0" fontId="28" fillId="0" borderId="0" xfId="3" applyFont="1" applyAlignment="1">
      <alignment horizontal="left"/>
    </xf>
    <xf numFmtId="0" fontId="0" fillId="0" borderId="70" xfId="0" applyBorder="1"/>
    <xf numFmtId="0" fontId="0" fillId="0" borderId="71" xfId="0" applyBorder="1"/>
    <xf numFmtId="0" fontId="0" fillId="0" borderId="43" xfId="0" applyBorder="1"/>
    <xf numFmtId="0" fontId="0" fillId="0" borderId="72" xfId="0" applyBorder="1"/>
    <xf numFmtId="44" fontId="0" fillId="0" borderId="73" xfId="1" applyFont="1" applyBorder="1"/>
    <xf numFmtId="9" fontId="45" fillId="0" borderId="0" xfId="2" applyFont="1"/>
    <xf numFmtId="174" fontId="45" fillId="0" borderId="0" xfId="48" applyNumberFormat="1" applyFont="1"/>
    <xf numFmtId="174" fontId="24" fillId="0" borderId="0" xfId="48" applyNumberFormat="1" applyFont="1" applyAlignment="1">
      <alignment horizontal="center"/>
    </xf>
    <xf numFmtId="173" fontId="45" fillId="0" borderId="0" xfId="48" applyNumberFormat="1" applyFont="1"/>
    <xf numFmtId="0" fontId="45" fillId="0" borderId="0" xfId="0" applyFont="1"/>
    <xf numFmtId="10" fontId="45" fillId="0" borderId="0" xfId="0" applyNumberFormat="1" applyFont="1"/>
    <xf numFmtId="43" fontId="45" fillId="0" borderId="0" xfId="48" applyFont="1"/>
    <xf numFmtId="173" fontId="46" fillId="22" borderId="0" xfId="0" applyNumberFormat="1" applyFont="1" applyFill="1"/>
    <xf numFmtId="1" fontId="45" fillId="0" borderId="34" xfId="0" applyNumberFormat="1" applyFont="1" applyBorder="1"/>
    <xf numFmtId="0" fontId="44" fillId="21" borderId="31" xfId="0" applyFont="1" applyFill="1" applyBorder="1"/>
    <xf numFmtId="0" fontId="0" fillId="10" borderId="67" xfId="0" applyFill="1" applyBorder="1"/>
    <xf numFmtId="0" fontId="44" fillId="21" borderId="76" xfId="0" applyFont="1" applyFill="1" applyBorder="1"/>
    <xf numFmtId="0" fontId="9" fillId="0" borderId="31" xfId="0" applyFont="1" applyBorder="1"/>
    <xf numFmtId="0" fontId="0" fillId="14" borderId="31" xfId="0" applyFill="1" applyBorder="1"/>
    <xf numFmtId="0" fontId="9" fillId="0" borderId="79" xfId="0" applyFont="1" applyBorder="1"/>
    <xf numFmtId="0" fontId="9" fillId="14" borderId="31" xfId="0" applyFont="1" applyFill="1" applyBorder="1"/>
    <xf numFmtId="9" fontId="0" fillId="21" borderId="79" xfId="0" applyNumberFormat="1" applyFill="1" applyBorder="1"/>
    <xf numFmtId="0" fontId="15" fillId="0" borderId="83" xfId="0" applyFont="1" applyBorder="1" applyAlignment="1">
      <alignment horizontal="center" vertical="center"/>
    </xf>
    <xf numFmtId="0" fontId="9" fillId="0" borderId="83" xfId="0" applyFont="1" applyBorder="1" applyAlignment="1">
      <alignment horizontal="center" vertical="center"/>
    </xf>
    <xf numFmtId="0" fontId="0" fillId="10" borderId="76" xfId="0" applyFill="1" applyBorder="1" applyAlignment="1">
      <alignment vertical="center"/>
    </xf>
    <xf numFmtId="167" fontId="17" fillId="10" borderId="78" xfId="0" applyNumberFormat="1" applyFont="1" applyFill="1" applyBorder="1" applyAlignment="1">
      <alignment horizontal="center" vertical="center"/>
    </xf>
    <xf numFmtId="0" fontId="17" fillId="10" borderId="68" xfId="0" applyFont="1" applyFill="1" applyBorder="1" applyAlignment="1">
      <alignment vertical="center"/>
    </xf>
    <xf numFmtId="9" fontId="17" fillId="10" borderId="82" xfId="0" applyNumberFormat="1" applyFont="1" applyFill="1" applyBorder="1" applyAlignment="1">
      <alignment vertical="center"/>
    </xf>
    <xf numFmtId="0" fontId="9" fillId="23" borderId="37" xfId="0" applyFont="1" applyFill="1" applyBorder="1" applyAlignment="1">
      <alignment horizontal="center" vertical="center"/>
    </xf>
    <xf numFmtId="2" fontId="0" fillId="23" borderId="38" xfId="0" applyNumberFormat="1" applyFill="1" applyBorder="1" applyAlignment="1">
      <alignment vertical="center"/>
    </xf>
    <xf numFmtId="3" fontId="0" fillId="23" borderId="38" xfId="0" applyNumberFormat="1" applyFill="1" applyBorder="1" applyAlignment="1">
      <alignment vertical="center"/>
    </xf>
    <xf numFmtId="175" fontId="0" fillId="11" borderId="31" xfId="0" applyNumberFormat="1" applyFill="1" applyBorder="1"/>
    <xf numFmtId="176" fontId="0" fillId="14" borderId="31" xfId="0" applyNumberFormat="1" applyFill="1" applyBorder="1"/>
    <xf numFmtId="176" fontId="8" fillId="14" borderId="31" xfId="1" applyNumberFormat="1" applyFill="1" applyBorder="1"/>
    <xf numFmtId="0" fontId="6" fillId="10" borderId="0" xfId="0" applyFont="1" applyFill="1" applyAlignment="1">
      <alignment horizontal="center" vertical="center"/>
    </xf>
    <xf numFmtId="167" fontId="6" fillId="10" borderId="0" xfId="0" applyNumberFormat="1" applyFont="1" applyFill="1" applyAlignment="1">
      <alignment horizontal="right" vertical="center"/>
    </xf>
    <xf numFmtId="0" fontId="8" fillId="10" borderId="0" xfId="0" applyFont="1" applyFill="1" applyAlignment="1">
      <alignment vertical="center"/>
    </xf>
    <xf numFmtId="3" fontId="6" fillId="10" borderId="0" xfId="0" applyNumberFormat="1" applyFont="1" applyFill="1" applyAlignment="1">
      <alignment horizontal="right" vertical="center"/>
    </xf>
    <xf numFmtId="0" fontId="24" fillId="0" borderId="75" xfId="0" applyFont="1" applyBorder="1"/>
    <xf numFmtId="3" fontId="0" fillId="23" borderId="0" xfId="0" applyNumberFormat="1" applyFill="1" applyAlignment="1">
      <alignment vertical="center"/>
    </xf>
    <xf numFmtId="0" fontId="2" fillId="0" borderId="0" xfId="3" applyFont="1"/>
    <xf numFmtId="4" fontId="9" fillId="0" borderId="2" xfId="0" applyNumberFormat="1" applyFont="1" applyBorder="1" applyAlignment="1">
      <alignment horizontal="center" vertical="center" wrapText="1"/>
    </xf>
    <xf numFmtId="8" fontId="0" fillId="0" borderId="0" xfId="0" applyNumberFormat="1"/>
    <xf numFmtId="177" fontId="51" fillId="0" borderId="0" xfId="3" applyNumberFormat="1" applyFont="1"/>
    <xf numFmtId="0" fontId="1" fillId="0" borderId="0" xfId="3" applyFont="1"/>
    <xf numFmtId="0" fontId="11" fillId="0" borderId="84" xfId="0" applyFont="1" applyBorder="1" applyAlignment="1">
      <alignment horizontal="justify" vertical="center" wrapText="1"/>
    </xf>
    <xf numFmtId="165" fontId="0" fillId="0" borderId="0" xfId="0" applyNumberFormat="1"/>
    <xf numFmtId="177" fontId="51" fillId="0" borderId="0" xfId="3" applyNumberFormat="1" applyFont="1" applyAlignment="1">
      <alignment horizontal="left"/>
    </xf>
    <xf numFmtId="0" fontId="57" fillId="0" borderId="0" xfId="3" applyFont="1"/>
    <xf numFmtId="0" fontId="58" fillId="0" borderId="0" xfId="3" applyFont="1"/>
    <xf numFmtId="3" fontId="25" fillId="0" borderId="0" xfId="3" applyNumberFormat="1" applyFont="1" applyAlignment="1">
      <alignment horizontal="right"/>
    </xf>
    <xf numFmtId="0" fontId="25" fillId="0" borderId="0" xfId="3" applyFont="1" applyAlignment="1">
      <alignment horizontal="left"/>
    </xf>
    <xf numFmtId="0" fontId="41" fillId="0" borderId="0" xfId="3" applyFont="1"/>
    <xf numFmtId="0" fontId="59" fillId="0" borderId="0" xfId="3" applyFont="1"/>
    <xf numFmtId="177" fontId="60" fillId="0" borderId="0" xfId="3" applyNumberFormat="1" applyFont="1"/>
    <xf numFmtId="3" fontId="52" fillId="0" borderId="0" xfId="3" applyNumberFormat="1" applyFont="1" applyAlignment="1">
      <alignment horizontal="right" vertical="center"/>
    </xf>
    <xf numFmtId="177" fontId="52" fillId="0" borderId="0" xfId="3" applyNumberFormat="1" applyFont="1" applyAlignment="1">
      <alignment horizontal="right" vertical="center" wrapText="1"/>
    </xf>
    <xf numFmtId="3" fontId="41" fillId="0" borderId="0" xfId="3" applyNumberFormat="1" applyFont="1" applyAlignment="1">
      <alignment horizontal="left" vertical="center" wrapText="1"/>
    </xf>
    <xf numFmtId="3" fontId="41" fillId="0" borderId="0" xfId="3" applyNumberFormat="1" applyFont="1" applyAlignment="1">
      <alignment horizontal="left" vertical="center"/>
    </xf>
    <xf numFmtId="0" fontId="52" fillId="0" borderId="0" xfId="3" applyFont="1" applyAlignment="1">
      <alignment vertical="center"/>
    </xf>
    <xf numFmtId="9" fontId="41" fillId="0" borderId="0" xfId="3" applyNumberFormat="1" applyFont="1" applyAlignment="1">
      <alignment horizontal="left" vertical="center"/>
    </xf>
    <xf numFmtId="0" fontId="61" fillId="24" borderId="0" xfId="3" applyFont="1" applyFill="1" applyAlignment="1">
      <alignment horizontal="center" vertical="center"/>
    </xf>
    <xf numFmtId="0" fontId="61" fillId="24" borderId="0" xfId="3" applyFont="1" applyFill="1" applyAlignment="1">
      <alignment horizontal="center" vertical="center" wrapText="1"/>
    </xf>
    <xf numFmtId="2" fontId="62" fillId="0" borderId="0" xfId="3" applyNumberFormat="1" applyFont="1" applyAlignment="1">
      <alignment horizontal="center" vertical="center"/>
    </xf>
    <xf numFmtId="2" fontId="59" fillId="0" borderId="0" xfId="3" applyNumberFormat="1" applyFont="1" applyAlignment="1">
      <alignment horizontal="right"/>
    </xf>
    <xf numFmtId="0" fontId="62" fillId="0" borderId="0" xfId="3" applyFont="1" applyAlignment="1">
      <alignment horizontal="left" vertical="center"/>
    </xf>
    <xf numFmtId="0" fontId="62" fillId="0" borderId="0" xfId="3" applyFont="1" applyAlignment="1">
      <alignment horizontal="center" vertical="center"/>
    </xf>
    <xf numFmtId="0" fontId="61" fillId="0" borderId="0" xfId="3" applyFont="1" applyAlignment="1">
      <alignment horizontal="center" vertical="center"/>
    </xf>
    <xf numFmtId="0" fontId="61" fillId="0" borderId="0" xfId="3" applyFont="1" applyAlignment="1">
      <alignment horizontal="center" vertical="center" wrapText="1"/>
    </xf>
    <xf numFmtId="3" fontId="41" fillId="0" borderId="0" xfId="3" applyNumberFormat="1" applyFont="1" applyAlignment="1">
      <alignment horizontal="center" vertical="center"/>
    </xf>
    <xf numFmtId="0" fontId="41" fillId="0" borderId="0" xfId="3" applyFont="1" applyAlignment="1">
      <alignment horizontal="center" vertical="center"/>
    </xf>
    <xf numFmtId="0" fontId="41" fillId="0" borderId="0" xfId="3" applyFont="1" applyAlignment="1">
      <alignment horizontal="center"/>
    </xf>
    <xf numFmtId="0" fontId="61" fillId="16" borderId="0" xfId="3" applyFont="1" applyFill="1"/>
    <xf numFmtId="3" fontId="41" fillId="0" borderId="0" xfId="3" applyNumberFormat="1" applyFont="1"/>
    <xf numFmtId="0" fontId="63" fillId="0" borderId="0" xfId="3" applyFont="1" applyAlignment="1">
      <alignment horizontal="center"/>
    </xf>
    <xf numFmtId="0" fontId="63" fillId="0" borderId="0" xfId="3" applyFont="1" applyAlignment="1">
      <alignment horizontal="center" vertical="center"/>
    </xf>
    <xf numFmtId="0" fontId="61" fillId="24" borderId="0" xfId="3" applyFont="1" applyFill="1" applyAlignment="1">
      <alignment horizontal="left" vertical="center"/>
    </xf>
    <xf numFmtId="43" fontId="61" fillId="24" borderId="0" xfId="4" applyFont="1" applyFill="1" applyAlignment="1">
      <alignment horizontal="left" vertical="center"/>
    </xf>
    <xf numFmtId="178" fontId="61" fillId="24" borderId="0" xfId="1" applyNumberFormat="1" applyFont="1" applyFill="1" applyAlignment="1">
      <alignment horizontal="left" vertical="center"/>
    </xf>
    <xf numFmtId="0" fontId="4" fillId="0" borderId="0" xfId="3" applyAlignment="1">
      <alignment horizontal="left" vertical="center"/>
    </xf>
    <xf numFmtId="43" fontId="61" fillId="24" borderId="0" xfId="4" applyFont="1" applyFill="1" applyAlignment="1">
      <alignment vertical="center"/>
    </xf>
    <xf numFmtId="178" fontId="61" fillId="24" borderId="0" xfId="1" applyNumberFormat="1" applyFont="1" applyFill="1" applyAlignment="1">
      <alignment vertical="center"/>
    </xf>
    <xf numFmtId="0" fontId="62" fillId="0" borderId="0" xfId="0" applyFont="1"/>
    <xf numFmtId="1" fontId="62" fillId="0" borderId="0" xfId="0" applyNumberFormat="1" applyFont="1" applyAlignment="1">
      <alignment horizontal="left"/>
    </xf>
    <xf numFmtId="175" fontId="65" fillId="0" borderId="0" xfId="0" applyNumberFormat="1" applyFont="1"/>
    <xf numFmtId="175" fontId="6" fillId="0" borderId="0" xfId="1" applyNumberFormat="1" applyFont="1" applyAlignment="1">
      <alignment horizontal="right" vertical="center"/>
    </xf>
    <xf numFmtId="0" fontId="66" fillId="0" borderId="0" xfId="3" applyFont="1"/>
    <xf numFmtId="3" fontId="5" fillId="12" borderId="84" xfId="0" applyNumberFormat="1" applyFont="1" applyFill="1" applyBorder="1" applyAlignment="1">
      <alignment horizontal="center"/>
    </xf>
    <xf numFmtId="3" fontId="0" fillId="12" borderId="84" xfId="0" applyNumberFormat="1" applyFill="1" applyBorder="1" applyAlignment="1">
      <alignment horizontal="center"/>
    </xf>
    <xf numFmtId="3" fontId="0" fillId="0" borderId="84" xfId="0" applyNumberFormat="1" applyBorder="1" applyAlignment="1">
      <alignment horizontal="center"/>
    </xf>
    <xf numFmtId="179" fontId="0" fillId="0" borderId="84" xfId="0" applyNumberFormat="1" applyBorder="1"/>
    <xf numFmtId="3" fontId="0" fillId="0" borderId="0" xfId="0" applyNumberFormat="1"/>
    <xf numFmtId="179" fontId="0" fillId="0" borderId="84" xfId="0" applyNumberFormat="1" applyBorder="1" applyAlignment="1">
      <alignment horizontal="center"/>
    </xf>
    <xf numFmtId="180" fontId="0" fillId="0" borderId="84" xfId="0" applyNumberFormat="1" applyBorder="1" applyAlignment="1">
      <alignment horizontal="center"/>
    </xf>
    <xf numFmtId="0" fontId="0" fillId="0" borderId="84" xfId="0" applyBorder="1" applyAlignment="1">
      <alignment horizontal="center"/>
    </xf>
    <xf numFmtId="3" fontId="0" fillId="0" borderId="85" xfId="0" applyNumberFormat="1" applyBorder="1" applyAlignment="1">
      <alignment horizontal="center"/>
    </xf>
    <xf numFmtId="3" fontId="24" fillId="0" borderId="0" xfId="0" applyNumberFormat="1" applyFont="1" applyAlignment="1">
      <alignment vertical="center"/>
    </xf>
    <xf numFmtId="0" fontId="63" fillId="0" borderId="0" xfId="3" applyFont="1" applyAlignment="1">
      <alignment horizontal="left"/>
    </xf>
    <xf numFmtId="0" fontId="63" fillId="0" borderId="0" xfId="3" applyFont="1"/>
    <xf numFmtId="0" fontId="59" fillId="24" borderId="0" xfId="3" applyFont="1" applyFill="1"/>
    <xf numFmtId="3" fontId="0" fillId="0" borderId="0" xfId="0" applyNumberFormat="1" applyAlignment="1">
      <alignment horizontal="center"/>
    </xf>
    <xf numFmtId="0" fontId="0" fillId="0" borderId="86" xfId="0" applyBorder="1" applyAlignment="1">
      <alignment horizontal="center"/>
    </xf>
    <xf numFmtId="180" fontId="0" fillId="0" borderId="0" xfId="0" applyNumberFormat="1"/>
    <xf numFmtId="178" fontId="69" fillId="0" borderId="87" xfId="1" applyNumberFormat="1" applyFont="1" applyBorder="1" applyAlignment="1">
      <alignment vertical="center"/>
    </xf>
    <xf numFmtId="178" fontId="69" fillId="0" borderId="63" xfId="1" applyNumberFormat="1" applyFont="1" applyBorder="1" applyAlignment="1">
      <alignment vertical="center"/>
    </xf>
    <xf numFmtId="178" fontId="42" fillId="24" borderId="64" xfId="1" applyNumberFormat="1" applyFont="1" applyFill="1" applyBorder="1" applyAlignment="1">
      <alignment vertical="center"/>
    </xf>
    <xf numFmtId="0" fontId="62" fillId="0" borderId="0" xfId="3" applyFont="1" applyAlignment="1">
      <alignment horizontal="left"/>
    </xf>
    <xf numFmtId="0" fontId="41" fillId="0" borderId="0" xfId="3" applyFont="1" applyAlignment="1">
      <alignment horizontal="left"/>
    </xf>
    <xf numFmtId="3" fontId="0" fillId="26" borderId="84" xfId="0" applyNumberFormat="1" applyFill="1" applyBorder="1" applyAlignment="1">
      <alignment horizontal="center"/>
    </xf>
    <xf numFmtId="3" fontId="0" fillId="0" borderId="84" xfId="0" applyNumberFormat="1" applyBorder="1"/>
    <xf numFmtId="3" fontId="0" fillId="26" borderId="84" xfId="0" applyNumberFormat="1" applyFill="1" applyBorder="1"/>
    <xf numFmtId="0" fontId="63" fillId="12" borderId="0" xfId="3" applyFont="1" applyFill="1"/>
    <xf numFmtId="0" fontId="59" fillId="12" borderId="0" xfId="3" applyFont="1" applyFill="1"/>
    <xf numFmtId="0" fontId="0" fillId="0" borderId="62" xfId="0" applyBorder="1"/>
    <xf numFmtId="0" fontId="69" fillId="0" borderId="98" xfId="1" applyNumberFormat="1" applyFont="1" applyBorder="1" applyAlignment="1">
      <alignment horizontal="right" vertical="center"/>
    </xf>
    <xf numFmtId="0" fontId="69" fillId="12" borderId="88" xfId="3" applyFont="1" applyFill="1" applyBorder="1" applyAlignment="1">
      <alignment horizontal="right"/>
    </xf>
    <xf numFmtId="0" fontId="42" fillId="24" borderId="99" xfId="3" applyFont="1" applyFill="1" applyBorder="1" applyAlignment="1">
      <alignment horizontal="right"/>
    </xf>
    <xf numFmtId="0" fontId="68" fillId="0" borderId="62" xfId="3" applyFont="1" applyBorder="1" applyAlignment="1">
      <alignment vertical="center" wrapText="1"/>
    </xf>
    <xf numFmtId="0" fontId="69" fillId="0" borderId="98" xfId="1" applyNumberFormat="1" applyFont="1" applyBorder="1" applyAlignment="1">
      <alignment horizontal="center" vertical="center"/>
    </xf>
    <xf numFmtId="176" fontId="69" fillId="12" borderId="100" xfId="1" applyNumberFormat="1" applyFont="1" applyFill="1" applyBorder="1" applyAlignment="1">
      <alignment horizontal="center" vertical="center"/>
    </xf>
    <xf numFmtId="0" fontId="69" fillId="12" borderId="90" xfId="3" applyFont="1" applyFill="1" applyBorder="1" applyAlignment="1">
      <alignment horizontal="center"/>
    </xf>
    <xf numFmtId="176" fontId="69" fillId="0" borderId="94" xfId="3" applyNumberFormat="1" applyFont="1" applyBorder="1" applyAlignment="1">
      <alignment horizontal="center"/>
    </xf>
    <xf numFmtId="0" fontId="42" fillId="24" borderId="90" xfId="3" applyFont="1" applyFill="1" applyBorder="1" applyAlignment="1">
      <alignment horizontal="center"/>
    </xf>
    <xf numFmtId="176" fontId="42" fillId="24" borderId="94" xfId="1" applyNumberFormat="1" applyFont="1" applyFill="1" applyBorder="1" applyAlignment="1">
      <alignment horizontal="center"/>
    </xf>
    <xf numFmtId="0" fontId="6" fillId="0" borderId="1" xfId="0" applyFont="1" applyBorder="1" applyAlignment="1">
      <alignment horizontal="center" vertical="center"/>
    </xf>
    <xf numFmtId="0" fontId="0" fillId="0" borderId="44" xfId="0" applyBorder="1"/>
    <xf numFmtId="0" fontId="0" fillId="0" borderId="26" xfId="0" applyBorder="1"/>
    <xf numFmtId="0" fontId="8" fillId="0" borderId="0" xfId="0" applyFont="1" applyAlignment="1">
      <alignment horizontal="center" vertical="top" wrapText="1"/>
    </xf>
    <xf numFmtId="0" fontId="17" fillId="0" borderId="0" xfId="0" applyFont="1"/>
    <xf numFmtId="0" fontId="6" fillId="0" borderId="1" xfId="0" applyFont="1" applyBorder="1" applyAlignment="1">
      <alignment horizontal="left" vertical="center"/>
    </xf>
    <xf numFmtId="165" fontId="6" fillId="0" borderId="1" xfId="0" applyNumberFormat="1" applyFont="1" applyBorder="1" applyAlignment="1">
      <alignment horizontal="center" vertical="center"/>
    </xf>
    <xf numFmtId="0" fontId="6" fillId="0" borderId="0" xfId="0" applyFont="1"/>
    <xf numFmtId="0" fontId="9" fillId="0" borderId="0" xfId="0" applyFont="1" applyAlignment="1">
      <alignment horizontal="center" vertical="top" wrapText="1"/>
    </xf>
    <xf numFmtId="0" fontId="9" fillId="8" borderId="0" xfId="0" applyFont="1" applyFill="1" applyAlignment="1">
      <alignment horizontal="center"/>
    </xf>
    <xf numFmtId="0" fontId="9" fillId="0" borderId="0" xfId="0" applyFont="1"/>
    <xf numFmtId="0" fontId="0" fillId="0" borderId="0" xfId="0" applyAlignment="1">
      <alignment horizontal="left" wrapText="1"/>
    </xf>
    <xf numFmtId="0" fontId="0" fillId="0" borderId="0" xfId="0"/>
    <xf numFmtId="0" fontId="9" fillId="4" borderId="0" xfId="0" applyFont="1" applyFill="1" applyAlignment="1">
      <alignment horizontal="center"/>
    </xf>
    <xf numFmtId="0" fontId="9" fillId="2" borderId="0" xfId="0" applyFont="1" applyFill="1" applyAlignment="1">
      <alignment horizontal="center"/>
    </xf>
    <xf numFmtId="0" fontId="17" fillId="2" borderId="0" xfId="0" applyFont="1" applyFill="1" applyAlignment="1">
      <alignment horizontal="center" vertical="center" wrapText="1"/>
    </xf>
    <xf numFmtId="0" fontId="9" fillId="0" borderId="2" xfId="0" applyFont="1" applyBorder="1" applyAlignment="1">
      <alignment horizontal="center" vertical="center" wrapText="1"/>
    </xf>
    <xf numFmtId="0" fontId="0" fillId="0" borderId="27" xfId="0" applyBorder="1"/>
    <xf numFmtId="0" fontId="9" fillId="0" borderId="45" xfId="0" applyFont="1" applyBorder="1" applyAlignment="1">
      <alignment horizontal="center" vertical="center" wrapText="1"/>
    </xf>
    <xf numFmtId="0" fontId="0" fillId="0" borderId="12" xfId="0" applyBorder="1"/>
    <xf numFmtId="0" fontId="0" fillId="0" borderId="47" xfId="0" applyBorder="1"/>
    <xf numFmtId="0" fontId="9" fillId="0" borderId="0" xfId="0" applyFont="1" applyAlignment="1">
      <alignment horizontal="center" vertical="center" wrapText="1"/>
    </xf>
    <xf numFmtId="0" fontId="9" fillId="0" borderId="1" xfId="0" applyFont="1" applyBorder="1" applyAlignment="1">
      <alignment horizontal="center" vertical="center" wrapText="1"/>
    </xf>
    <xf numFmtId="0" fontId="12" fillId="0" borderId="49" xfId="0" applyFont="1" applyBorder="1" applyAlignment="1">
      <alignment horizontal="center"/>
    </xf>
    <xf numFmtId="0" fontId="0" fillId="0" borderId="49" xfId="0" applyBorder="1"/>
    <xf numFmtId="0" fontId="0" fillId="0" borderId="0" xfId="0" applyAlignment="1">
      <alignment horizontal="right" vertical="center"/>
    </xf>
    <xf numFmtId="2" fontId="9" fillId="0" borderId="0" xfId="0" applyNumberFormat="1" applyFont="1" applyAlignment="1">
      <alignment horizontal="right" vertical="center"/>
    </xf>
    <xf numFmtId="0" fontId="10" fillId="0" borderId="1" xfId="0" applyFont="1" applyBorder="1" applyAlignment="1" applyProtection="1">
      <alignment horizontal="center" vertical="center" wrapText="1"/>
      <protection locked="0"/>
    </xf>
    <xf numFmtId="0" fontId="0" fillId="0" borderId="27" xfId="0" applyBorder="1" applyProtection="1">
      <protection locked="0"/>
    </xf>
    <xf numFmtId="0" fontId="0" fillId="0" borderId="13" xfId="0" applyBorder="1" applyProtection="1">
      <protection locked="0"/>
    </xf>
    <xf numFmtId="0" fontId="0" fillId="0" borderId="13" xfId="0" applyBorder="1"/>
    <xf numFmtId="2" fontId="9" fillId="0" borderId="1" xfId="0" applyNumberFormat="1" applyFont="1" applyBorder="1" applyAlignment="1">
      <alignment horizontal="center" vertical="center" wrapText="1"/>
    </xf>
    <xf numFmtId="0" fontId="9" fillId="0" borderId="13" xfId="0" applyFont="1" applyBorder="1" applyAlignment="1">
      <alignment horizontal="center" vertical="center" wrapText="1"/>
    </xf>
    <xf numFmtId="0" fontId="0" fillId="0" borderId="0" xfId="0" applyAlignment="1">
      <alignment horizontal="left" vertical="center"/>
    </xf>
    <xf numFmtId="2" fontId="9" fillId="0" borderId="1" xfId="0" applyNumberFormat="1" applyFont="1" applyBorder="1" applyAlignment="1">
      <alignment horizontal="center" vertical="center" textRotation="90" wrapText="1"/>
    </xf>
    <xf numFmtId="0" fontId="0" fillId="0" borderId="46" xfId="0" applyBorder="1"/>
    <xf numFmtId="0" fontId="0" fillId="0" borderId="50" xfId="0" applyBorder="1"/>
    <xf numFmtId="0" fontId="0" fillId="0" borderId="51" xfId="0" applyBorder="1"/>
    <xf numFmtId="0" fontId="9" fillId="0" borderId="3" xfId="0" applyFont="1" applyBorder="1" applyAlignment="1">
      <alignment horizontal="center" vertical="center" wrapText="1"/>
    </xf>
    <xf numFmtId="0" fontId="0" fillId="0" borderId="48" xfId="0" applyBorder="1"/>
    <xf numFmtId="0" fontId="48" fillId="12" borderId="0" xfId="0" applyFont="1" applyFill="1" applyAlignment="1">
      <alignment horizontal="center" wrapText="1"/>
    </xf>
    <xf numFmtId="9" fontId="9" fillId="21" borderId="31" xfId="2" applyFont="1" applyFill="1" applyBorder="1" applyAlignment="1">
      <alignment horizontal="center" vertical="center"/>
    </xf>
    <xf numFmtId="0" fontId="0" fillId="0" borderId="53" xfId="0" applyBorder="1"/>
    <xf numFmtId="0" fontId="67" fillId="25" borderId="0" xfId="0" applyFont="1" applyFill="1" applyAlignment="1">
      <alignment horizontal="center"/>
    </xf>
    <xf numFmtId="0" fontId="9" fillId="10" borderId="31" xfId="0" applyFont="1" applyFill="1" applyBorder="1" applyAlignment="1">
      <alignment horizontal="center" vertical="center" wrapText="1"/>
    </xf>
    <xf numFmtId="0" fontId="0" fillId="0" borderId="69" xfId="0" applyBorder="1"/>
    <xf numFmtId="0" fontId="0" fillId="0" borderId="76" xfId="0" applyBorder="1"/>
    <xf numFmtId="0" fontId="0" fillId="0" borderId="80" xfId="0" applyBorder="1"/>
    <xf numFmtId="0" fontId="0" fillId="0" borderId="77" xfId="0" applyBorder="1"/>
    <xf numFmtId="0" fontId="0" fillId="0" borderId="81" xfId="0" applyBorder="1"/>
    <xf numFmtId="0" fontId="0" fillId="0" borderId="58" xfId="0" applyBorder="1"/>
    <xf numFmtId="0" fontId="0" fillId="0" borderId="78" xfId="0" applyBorder="1"/>
    <xf numFmtId="0" fontId="9" fillId="10" borderId="39" xfId="0" applyFont="1" applyFill="1" applyBorder="1" applyAlignment="1">
      <alignment horizontal="center" vertical="center" wrapText="1"/>
    </xf>
    <xf numFmtId="0" fontId="0" fillId="0" borderId="67" xfId="0" applyBorder="1"/>
    <xf numFmtId="0" fontId="9" fillId="10" borderId="76" xfId="0" applyFont="1" applyFill="1" applyBorder="1" applyAlignment="1">
      <alignment horizontal="center" vertical="center" wrapText="1"/>
    </xf>
    <xf numFmtId="0" fontId="9" fillId="10" borderId="31" xfId="0" applyFont="1" applyFill="1" applyBorder="1" applyAlignment="1">
      <alignment horizontal="center" wrapText="1"/>
    </xf>
    <xf numFmtId="0" fontId="0" fillId="0" borderId="55" xfId="0" applyBorder="1"/>
    <xf numFmtId="0" fontId="0" fillId="0" borderId="82" xfId="0" applyBorder="1"/>
    <xf numFmtId="0" fontId="12" fillId="0" borderId="0" xfId="0" applyFont="1" applyAlignment="1">
      <alignment horizontal="center" vertical="top" wrapText="1"/>
    </xf>
    <xf numFmtId="0" fontId="9" fillId="0" borderId="1" xfId="0" applyFont="1" applyBorder="1" applyAlignment="1" applyProtection="1">
      <alignment horizontal="center" vertical="center" wrapText="1"/>
      <protection locked="0"/>
    </xf>
    <xf numFmtId="0" fontId="0" fillId="0" borderId="12" xfId="0" applyBorder="1" applyProtection="1">
      <protection locked="0"/>
    </xf>
    <xf numFmtId="0" fontId="0" fillId="0" borderId="46" xfId="0" applyBorder="1" applyProtection="1">
      <protection locked="0"/>
    </xf>
    <xf numFmtId="0" fontId="0" fillId="0" borderId="50" xfId="0" applyBorder="1" applyProtection="1">
      <protection locked="0"/>
    </xf>
    <xf numFmtId="0" fontId="0" fillId="0" borderId="49" xfId="0" applyBorder="1" applyProtection="1">
      <protection locked="0"/>
    </xf>
    <xf numFmtId="0" fontId="0" fillId="0" borderId="51" xfId="0" applyBorder="1" applyProtection="1">
      <protection locked="0"/>
    </xf>
    <xf numFmtId="0" fontId="9" fillId="0" borderId="1" xfId="0" applyFont="1" applyBorder="1" applyAlignment="1" applyProtection="1">
      <alignment horizontal="center" vertical="center" textRotation="255" wrapText="1"/>
      <protection locked="0"/>
    </xf>
    <xf numFmtId="0" fontId="0" fillId="0" borderId="44" xfId="0" applyBorder="1" applyProtection="1">
      <protection locked="0"/>
    </xf>
    <xf numFmtId="0" fontId="0" fillId="0" borderId="26" xfId="0" applyBorder="1" applyProtection="1">
      <protection locked="0"/>
    </xf>
    <xf numFmtId="0" fontId="22" fillId="0" borderId="1" xfId="0" applyFont="1" applyBorder="1" applyAlignment="1" applyProtection="1">
      <alignment horizontal="center" vertical="center" wrapText="1"/>
      <protection locked="0"/>
    </xf>
    <xf numFmtId="0" fontId="22" fillId="0" borderId="18" xfId="0" applyFont="1" applyBorder="1" applyAlignment="1">
      <alignment horizontal="left" vertical="justify" wrapText="1"/>
    </xf>
    <xf numFmtId="0" fontId="0" fillId="0" borderId="52" xfId="0" applyBorder="1"/>
    <xf numFmtId="165" fontId="18" fillId="0" borderId="1" xfId="0" applyNumberFormat="1" applyFont="1" applyBorder="1" applyAlignment="1">
      <alignment horizontal="center" vertical="center" wrapText="1"/>
    </xf>
    <xf numFmtId="0" fontId="9" fillId="2" borderId="1" xfId="0" applyFont="1" applyFill="1" applyBorder="1" applyAlignment="1" applyProtection="1">
      <alignment horizontal="center" vertical="center" wrapText="1"/>
      <protection locked="0"/>
    </xf>
    <xf numFmtId="0" fontId="12" fillId="0" borderId="0" xfId="0" applyFont="1" applyAlignment="1">
      <alignment horizontal="center"/>
    </xf>
    <xf numFmtId="44" fontId="0" fillId="0" borderId="31" xfId="1" applyFont="1" applyBorder="1" applyAlignment="1">
      <alignment horizontal="center" vertical="center"/>
    </xf>
    <xf numFmtId="0" fontId="8" fillId="0" borderId="0" xfId="0" applyFont="1"/>
    <xf numFmtId="172" fontId="9" fillId="10" borderId="31" xfId="0" applyNumberFormat="1" applyFont="1" applyFill="1" applyBorder="1" applyAlignment="1">
      <alignment horizontal="center" vertical="center" wrapText="1"/>
    </xf>
    <xf numFmtId="167" fontId="6" fillId="0" borderId="0" xfId="0" applyNumberFormat="1" applyFont="1" applyAlignment="1">
      <alignment horizontal="center" vertical="center"/>
    </xf>
    <xf numFmtId="0" fontId="56" fillId="0" borderId="0" xfId="3" applyFont="1" applyAlignment="1">
      <alignment horizontal="left" vertical="center" wrapText="1" readingOrder="1"/>
    </xf>
    <xf numFmtId="0" fontId="6" fillId="0" borderId="0" xfId="0" applyFont="1" applyAlignment="1">
      <alignment horizontal="left" vertical="top"/>
    </xf>
    <xf numFmtId="0" fontId="47" fillId="10" borderId="31" xfId="0" applyFont="1" applyFill="1" applyBorder="1" applyAlignment="1">
      <alignment horizontal="center" vertical="center"/>
    </xf>
    <xf numFmtId="167" fontId="17" fillId="10" borderId="68" xfId="0" applyNumberFormat="1" applyFont="1" applyFill="1" applyBorder="1" applyAlignment="1">
      <alignment horizontal="center" vertical="center"/>
    </xf>
    <xf numFmtId="0" fontId="6" fillId="0" borderId="0" xfId="0" applyFont="1" applyAlignment="1">
      <alignment horizontal="left" vertical="center" wrapText="1"/>
    </xf>
    <xf numFmtId="0" fontId="48" fillId="10" borderId="31" xfId="0" applyFont="1" applyFill="1" applyBorder="1" applyAlignment="1">
      <alignment horizontal="center" vertical="center" wrapText="1"/>
    </xf>
    <xf numFmtId="173" fontId="0" fillId="0" borderId="0" xfId="48" applyNumberFormat="1" applyFont="1"/>
    <xf numFmtId="0" fontId="0" fillId="0" borderId="42" xfId="0" applyBorder="1" applyAlignment="1">
      <alignment horizontal="center"/>
    </xf>
    <xf numFmtId="0" fontId="0" fillId="0" borderId="91" xfId="0" applyBorder="1"/>
    <xf numFmtId="0" fontId="0" fillId="0" borderId="92" xfId="0" applyBorder="1"/>
    <xf numFmtId="0" fontId="0" fillId="0" borderId="74" xfId="0" applyBorder="1" applyAlignment="1">
      <alignment horizontal="center"/>
    </xf>
    <xf numFmtId="0" fontId="0" fillId="0" borderId="93" xfId="0" applyBorder="1"/>
    <xf numFmtId="0" fontId="0" fillId="0" borderId="94" xfId="0" applyBorder="1"/>
    <xf numFmtId="0" fontId="41" fillId="0" borderId="0" xfId="3" applyFont="1" applyAlignment="1">
      <alignment horizontal="left" vertical="center" wrapText="1"/>
    </xf>
    <xf numFmtId="0" fontId="59" fillId="0" borderId="0" xfId="3" applyFont="1"/>
    <xf numFmtId="0" fontId="54" fillId="12" borderId="0" xfId="3" applyFont="1" applyFill="1" applyAlignment="1">
      <alignment horizontal="center"/>
    </xf>
    <xf numFmtId="0" fontId="4" fillId="0" borderId="0" xfId="3"/>
    <xf numFmtId="177" fontId="52" fillId="0" borderId="0" xfId="3" applyNumberFormat="1" applyFont="1" applyAlignment="1">
      <alignment horizontal="center"/>
    </xf>
    <xf numFmtId="0" fontId="61" fillId="24" borderId="0" xfId="3" applyFont="1" applyFill="1" applyAlignment="1">
      <alignment horizontal="center" vertical="center"/>
    </xf>
    <xf numFmtId="2" fontId="41" fillId="0" borderId="0" xfId="3" applyNumberFormat="1" applyFont="1" applyAlignment="1">
      <alignment horizontal="center" vertical="center"/>
    </xf>
    <xf numFmtId="0" fontId="61" fillId="24" borderId="0" xfId="3" applyFont="1" applyFill="1" applyAlignment="1">
      <alignment horizontal="left" vertical="center"/>
    </xf>
    <xf numFmtId="0" fontId="4" fillId="0" borderId="0" xfId="3" applyAlignment="1">
      <alignment horizontal="left" vertical="center"/>
    </xf>
    <xf numFmtId="0" fontId="55" fillId="0" borderId="0" xfId="3" applyFont="1" applyAlignment="1">
      <alignment horizontal="center" vertical="center" wrapText="1"/>
    </xf>
    <xf numFmtId="1" fontId="42" fillId="24" borderId="65" xfId="3" applyNumberFormat="1" applyFont="1" applyFill="1" applyBorder="1" applyAlignment="1">
      <alignment horizontal="center" vertical="center"/>
    </xf>
    <xf numFmtId="0" fontId="0" fillId="0" borderId="95" xfId="0" applyBorder="1"/>
    <xf numFmtId="44" fontId="42" fillId="24" borderId="66" xfId="1" applyFont="1" applyFill="1" applyBorder="1" applyAlignment="1">
      <alignment horizontal="center" vertical="center"/>
    </xf>
    <xf numFmtId="0" fontId="0" fillId="0" borderId="64" xfId="0" applyBorder="1"/>
    <xf numFmtId="0" fontId="68" fillId="0" borderId="0" xfId="3" applyFont="1" applyAlignment="1">
      <alignment horizontal="center" vertical="center" wrapText="1"/>
    </xf>
    <xf numFmtId="0" fontId="68" fillId="0" borderId="89" xfId="3" applyFont="1" applyBorder="1" applyAlignment="1">
      <alignment horizontal="center" vertical="center" wrapText="1"/>
    </xf>
    <xf numFmtId="0" fontId="4" fillId="0" borderId="0" xfId="3" applyAlignment="1">
      <alignment horizontal="center"/>
    </xf>
    <xf numFmtId="0" fontId="55" fillId="0" borderId="96" xfId="3" applyFont="1" applyBorder="1" applyAlignment="1">
      <alignment horizontal="center" vertical="center" wrapText="1"/>
    </xf>
    <xf numFmtId="0" fontId="0" fillId="0" borderId="61" xfId="0" applyBorder="1"/>
    <xf numFmtId="0" fontId="0" fillId="0" borderId="62" xfId="0" applyBorder="1"/>
    <xf numFmtId="0" fontId="0" fillId="0" borderId="63" xfId="0" applyBorder="1"/>
    <xf numFmtId="0" fontId="52" fillId="0" borderId="97" xfId="3" applyFont="1" applyBorder="1" applyAlignment="1">
      <alignment horizontal="center"/>
    </xf>
    <xf numFmtId="0" fontId="4" fillId="0" borderId="97" xfId="3" applyBorder="1"/>
    <xf numFmtId="0" fontId="63" fillId="0" borderId="0" xfId="3" applyFont="1" applyAlignment="1">
      <alignment horizontal="left"/>
    </xf>
    <xf numFmtId="0" fontId="64" fillId="0" borderId="0" xfId="3" applyFont="1" applyAlignment="1">
      <alignment horizontal="left" vertical="top" wrapText="1"/>
    </xf>
    <xf numFmtId="177" fontId="53" fillId="0" borderId="0" xfId="3" applyNumberFormat="1" applyFont="1" applyAlignment="1">
      <alignment horizontal="center"/>
    </xf>
    <xf numFmtId="0" fontId="68" fillId="0" borderId="0" xfId="3" applyFont="1" applyAlignment="1">
      <alignment horizontal="right" wrapText="1"/>
    </xf>
    <xf numFmtId="176" fontId="42" fillId="12" borderId="0" xfId="1" applyNumberFormat="1" applyFont="1" applyFill="1" applyAlignment="1">
      <alignment horizontal="center" vertical="center"/>
    </xf>
    <xf numFmtId="44" fontId="42" fillId="12" borderId="0" xfId="1" applyFont="1" applyFill="1" applyAlignment="1">
      <alignment horizontal="center" vertical="center"/>
    </xf>
  </cellXfs>
  <cellStyles count="51">
    <cellStyle name="%" xfId="5" xr:uid="{00000000-0005-0000-0000-000005000000}"/>
    <cellStyle name="axlcolour" xfId="6" xr:uid="{00000000-0005-0000-0000-000006000000}"/>
    <cellStyle name="Estilo 1" xfId="7" xr:uid="{00000000-0005-0000-0000-000007000000}"/>
    <cellStyle name="Estilo 2" xfId="8" xr:uid="{00000000-0005-0000-0000-000008000000}"/>
    <cellStyle name="Estilo 3" xfId="9" xr:uid="{00000000-0005-0000-0000-000009000000}"/>
    <cellStyle name="Euro" xfId="10" xr:uid="{00000000-0005-0000-0000-00000A000000}"/>
    <cellStyle name="green" xfId="11" xr:uid="{00000000-0005-0000-0000-00000B000000}"/>
    <cellStyle name="Grey" xfId="12" xr:uid="{00000000-0005-0000-0000-00000C000000}"/>
    <cellStyle name="Header - Style1" xfId="13" xr:uid="{00000000-0005-0000-0000-00000D000000}"/>
    <cellStyle name="Header1" xfId="14" xr:uid="{00000000-0005-0000-0000-00000E000000}"/>
    <cellStyle name="Header2" xfId="15" xr:uid="{00000000-0005-0000-0000-00000F000000}"/>
    <cellStyle name="Heading" xfId="16" xr:uid="{00000000-0005-0000-0000-000010000000}"/>
    <cellStyle name="Hipervínculo" xfId="49" builtinId="8" hidden="1"/>
    <cellStyle name="Hipervínculo visitado" xfId="50" builtinId="9" hidden="1"/>
    <cellStyle name="Input [yellow]" xfId="17" xr:uid="{00000000-0005-0000-0000-000011000000}"/>
    <cellStyle name="MARQ" xfId="18" xr:uid="{00000000-0005-0000-0000-000012000000}"/>
    <cellStyle name="Migliaia (0)_1641SM D" xfId="19" xr:uid="{00000000-0005-0000-0000-000013000000}"/>
    <cellStyle name="Migliaia_1641SM D" xfId="20" xr:uid="{00000000-0005-0000-0000-000014000000}"/>
    <cellStyle name="Millares" xfId="48" builtinId="3"/>
    <cellStyle name="Millares 2" xfId="4" xr:uid="{00000000-0005-0000-0000-000004000000}"/>
    <cellStyle name="Millares 2 2" xfId="21" xr:uid="{00000000-0005-0000-0000-000015000000}"/>
    <cellStyle name="Millares 2 2 2" xfId="22" xr:uid="{00000000-0005-0000-0000-000016000000}"/>
    <cellStyle name="Millares 2 3" xfId="23" xr:uid="{00000000-0005-0000-0000-000017000000}"/>
    <cellStyle name="Moneda" xfId="1" builtinId="4"/>
    <cellStyle name="Normal" xfId="0" builtinId="0"/>
    <cellStyle name="Normal - Style1" xfId="24" xr:uid="{00000000-0005-0000-0000-000018000000}"/>
    <cellStyle name="Normal 2" xfId="3" xr:uid="{00000000-0005-0000-0000-000003000000}"/>
    <cellStyle name="Normal 2 2" xfId="25" xr:uid="{00000000-0005-0000-0000-000019000000}"/>
    <cellStyle name="Normal 2 3" xfId="26" xr:uid="{00000000-0005-0000-0000-00001A000000}"/>
    <cellStyle name="Normal 3" xfId="27" xr:uid="{00000000-0005-0000-0000-00001B000000}"/>
    <cellStyle name="Normal 4" xfId="28" xr:uid="{00000000-0005-0000-0000-00001C000000}"/>
    <cellStyle name="Normale_1511" xfId="29" xr:uid="{00000000-0005-0000-0000-00001D000000}"/>
    <cellStyle name="Percent [2]" xfId="30" xr:uid="{00000000-0005-0000-0000-00001E000000}"/>
    <cellStyle name="Porcentaje" xfId="2" builtinId="5"/>
    <cellStyle name="Porcentual 2" xfId="31" xr:uid="{00000000-0005-0000-0000-00001F000000}"/>
    <cellStyle name="PSChar" xfId="32" xr:uid="{00000000-0005-0000-0000-000020000000}"/>
    <cellStyle name="PSDate" xfId="33" xr:uid="{00000000-0005-0000-0000-000021000000}"/>
    <cellStyle name="PSDec" xfId="34" xr:uid="{00000000-0005-0000-0000-000022000000}"/>
    <cellStyle name="PSHeading" xfId="35" xr:uid="{00000000-0005-0000-0000-000023000000}"/>
    <cellStyle name="PSInt" xfId="36" xr:uid="{00000000-0005-0000-0000-000024000000}"/>
    <cellStyle name="Standard_IPISV7" xfId="37" xr:uid="{00000000-0005-0000-0000-000025000000}"/>
    <cellStyle name="SUPPR" xfId="38" xr:uid="{00000000-0005-0000-0000-000026000000}"/>
    <cellStyle name="Table" xfId="39" xr:uid="{00000000-0005-0000-0000-000027000000}"/>
    <cellStyle name="Total 2" xfId="40" xr:uid="{00000000-0005-0000-0000-000028000000}"/>
    <cellStyle name="Tusental_A-listan (fixad)" xfId="41" xr:uid="{00000000-0005-0000-0000-000029000000}"/>
    <cellStyle name="Valuta (0)_1 new STM 16 ring" xfId="42" xr:uid="{00000000-0005-0000-0000-00002A000000}"/>
    <cellStyle name="Valuta_1 new STM 16 ring" xfId="43" xr:uid="{00000000-0005-0000-0000-00002B000000}"/>
    <cellStyle name="WHead - Style2" xfId="44" xr:uid="{00000000-0005-0000-0000-00002C000000}"/>
    <cellStyle name="千位分隔[0]_2.5G报价模板" xfId="45" xr:uid="{00000000-0005-0000-0000-00002D000000}"/>
    <cellStyle name="千位分隔_2.5G报价模板_SBS155622 Quotation Template V6.0" xfId="46" xr:uid="{00000000-0005-0000-0000-00002E000000}"/>
    <cellStyle name="常规_Main Quantities (50x155M)" xfId="47" xr:uid="{00000000-0005-0000-0000-00002F000000}"/>
  </cellStyles>
  <dxfs count="3">
    <dxf>
      <font>
        <condense val="0"/>
        <extend val="0"/>
        <color indexed="9"/>
      </font>
    </dxf>
    <dxf>
      <font>
        <condense val="0"/>
        <extend val="0"/>
        <color indexed="9"/>
      </font>
    </dxf>
    <dxf>
      <font>
        <condense val="0"/>
        <extend val="0"/>
        <color indexed="9"/>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0"/>
          <c:tx>
            <c:v>Ahorro Acumulado</c:v>
          </c:tx>
          <c:spPr>
            <a:ln w="28575" cap="rnd" cmpd="sng" algn="ctr">
              <a:solidFill>
                <a:schemeClr val="accent3">
                  <a:shade val="95000"/>
                  <a:satMod val="105000"/>
                </a:schemeClr>
              </a:solidFill>
              <a:prstDash val="solid"/>
              <a:round/>
            </a:ln>
            <a:effectLst/>
          </c:spPr>
          <c:marker>
            <c:symbol val="none"/>
          </c:marker>
          <c:val>
            <c:numRef>
              <c:f>RECUPERACION!$H$10:$H$34</c:f>
              <c:numCache>
                <c:formatCode>_(* #,##0.00_);_(* \(#,##0.00\);_(* "-"??_);_(@_)</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smooth val="0"/>
          <c:extLst>
            <c:ext xmlns:c16="http://schemas.microsoft.com/office/drawing/2014/chart" uri="{C3380CC4-5D6E-409C-BE32-E72D297353CC}">
              <c16:uniqueId val="{00000000-C912-4C49-A9B8-26AD96631888}"/>
            </c:ext>
          </c:extLst>
        </c:ser>
        <c:ser>
          <c:idx val="2"/>
          <c:order val="1"/>
          <c:tx>
            <c:v>Inversión</c:v>
          </c:tx>
          <c:spPr>
            <a:ln w="28575" cap="rnd" cmpd="sng" algn="ctr">
              <a:solidFill>
                <a:schemeClr val="accent5">
                  <a:shade val="95000"/>
                  <a:satMod val="105000"/>
                </a:schemeClr>
              </a:solidFill>
              <a:prstDash val="solid"/>
              <a:round/>
            </a:ln>
            <a:effectLst/>
          </c:spPr>
          <c:marker>
            <c:symbol val="none"/>
          </c:marker>
          <c:val>
            <c:numRef>
              <c:f>RECUPERACION!$I$10:$I$34</c:f>
              <c:numCache>
                <c:formatCode>_(* #,##0.00_);_(* \(#,##0.00\);_(* "-"??_);_(@_)</c:formatCode>
                <c:ptCount val="25"/>
                <c:pt idx="0">
                  <c:v>295750</c:v>
                </c:pt>
                <c:pt idx="1">
                  <c:v>295750</c:v>
                </c:pt>
                <c:pt idx="2">
                  <c:v>295750</c:v>
                </c:pt>
                <c:pt idx="3">
                  <c:v>295750</c:v>
                </c:pt>
                <c:pt idx="4">
                  <c:v>295750</c:v>
                </c:pt>
                <c:pt idx="5">
                  <c:v>295750</c:v>
                </c:pt>
                <c:pt idx="6">
                  <c:v>295750</c:v>
                </c:pt>
                <c:pt idx="7">
                  <c:v>295750</c:v>
                </c:pt>
                <c:pt idx="8">
                  <c:v>295750</c:v>
                </c:pt>
                <c:pt idx="9">
                  <c:v>295750</c:v>
                </c:pt>
                <c:pt idx="10">
                  <c:v>295750</c:v>
                </c:pt>
                <c:pt idx="11">
                  <c:v>295750</c:v>
                </c:pt>
                <c:pt idx="12">
                  <c:v>295750</c:v>
                </c:pt>
                <c:pt idx="13">
                  <c:v>295750</c:v>
                </c:pt>
                <c:pt idx="14">
                  <c:v>295750</c:v>
                </c:pt>
                <c:pt idx="15">
                  <c:v>295750</c:v>
                </c:pt>
                <c:pt idx="16">
                  <c:v>295750</c:v>
                </c:pt>
                <c:pt idx="17">
                  <c:v>295750</c:v>
                </c:pt>
                <c:pt idx="18">
                  <c:v>295750</c:v>
                </c:pt>
                <c:pt idx="19">
                  <c:v>295750</c:v>
                </c:pt>
                <c:pt idx="20">
                  <c:v>295750</c:v>
                </c:pt>
                <c:pt idx="21">
                  <c:v>295750</c:v>
                </c:pt>
                <c:pt idx="22">
                  <c:v>295750</c:v>
                </c:pt>
                <c:pt idx="23">
                  <c:v>295750</c:v>
                </c:pt>
                <c:pt idx="24">
                  <c:v>295750</c:v>
                </c:pt>
              </c:numCache>
            </c:numRef>
          </c:val>
          <c:smooth val="0"/>
          <c:extLst>
            <c:ext xmlns:c16="http://schemas.microsoft.com/office/drawing/2014/chart" uri="{C3380CC4-5D6E-409C-BE32-E72D297353CC}">
              <c16:uniqueId val="{00000001-C912-4C49-A9B8-26AD96631888}"/>
            </c:ext>
          </c:extLst>
        </c:ser>
        <c:dLbls>
          <c:showLegendKey val="0"/>
          <c:showVal val="0"/>
          <c:showCatName val="0"/>
          <c:showSerName val="0"/>
          <c:showPercent val="0"/>
          <c:showBubbleSize val="0"/>
        </c:dLbls>
        <c:smooth val="0"/>
        <c:axId val="156940928"/>
        <c:axId val="197751936"/>
      </c:lineChart>
      <c:catAx>
        <c:axId val="156940928"/>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solidFill>
                    <a:latin typeface="+mn-lt"/>
                    <a:ea typeface="+mn-ea"/>
                    <a:cs typeface="+mn-cs"/>
                  </a:defRPr>
                </a:pPr>
                <a:r>
                  <a:rPr lang="en-US" sz="1400"/>
                  <a:t>No. De Años</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s-MX"/>
            </a:p>
          </c:txPr>
        </c:title>
        <c:majorTickMark val="out"/>
        <c:minorTickMark val="none"/>
        <c:tickLblPos val="nextTo"/>
        <c:spPr>
          <a:noFill/>
          <a:ln w="9525" cap="flat" cmpd="sng" algn="ctr">
            <a:solidFill>
              <a:schemeClr val="tx1">
                <a:shade val="95000"/>
                <a:satMod val="105000"/>
              </a:schemeClr>
            </a:solidFill>
            <a:prstDash val="solid"/>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MX"/>
          </a:p>
        </c:txPr>
        <c:crossAx val="197751936"/>
        <c:crosses val="autoZero"/>
        <c:auto val="1"/>
        <c:lblAlgn val="ctr"/>
        <c:lblOffset val="100"/>
        <c:noMultiLvlLbl val="0"/>
      </c:catAx>
      <c:valAx>
        <c:axId val="197751936"/>
        <c:scaling>
          <c:orientation val="minMax"/>
          <c:max val="120"/>
          <c:min val="0"/>
        </c:scaling>
        <c:delete val="0"/>
        <c:axPos val="l"/>
        <c:majorGridlines>
          <c:spPr>
            <a:ln w="9525" cap="flat" cmpd="sng" algn="ctr">
              <a:solidFill>
                <a:schemeClr val="tx1">
                  <a:shade val="95000"/>
                  <a:satMod val="105000"/>
                </a:schemeClr>
              </a:solidFill>
              <a:prstDash val="solid"/>
              <a:round/>
            </a:ln>
            <a:effectLst/>
          </c:spPr>
        </c:majorGridlines>
        <c:title>
          <c:tx>
            <c:rich>
              <a:bodyPr rot="-5400000" spcFirstLastPara="1" vertOverflow="ellipsis" vert="horz" wrap="square" anchor="ctr" anchorCtr="1"/>
              <a:lstStyle/>
              <a:p>
                <a:pPr>
                  <a:defRPr sz="1400" b="1" i="0" u="none" strike="noStrike" kern="1200" baseline="0">
                    <a:solidFill>
                      <a:schemeClr val="tx1"/>
                    </a:solidFill>
                    <a:latin typeface="+mn-lt"/>
                    <a:ea typeface="+mn-ea"/>
                    <a:cs typeface="+mn-cs"/>
                  </a:defRPr>
                </a:pPr>
                <a:r>
                  <a:rPr lang="en-US" sz="1400"/>
                  <a:t>MM de Pesos</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solidFill>
                  <a:latin typeface="+mn-lt"/>
                  <a:ea typeface="+mn-ea"/>
                  <a:cs typeface="+mn-cs"/>
                </a:defRPr>
              </a:pPr>
              <a:endParaRPr lang="es-MX"/>
            </a:p>
          </c:txPr>
        </c:title>
        <c:numFmt formatCode="&quot;$&quot;#,##0" sourceLinked="0"/>
        <c:majorTickMark val="out"/>
        <c:minorTickMark val="none"/>
        <c:tickLblPos val="nextTo"/>
        <c:spPr>
          <a:noFill/>
          <a:ln w="9525" cap="flat" cmpd="sng" algn="ctr">
            <a:solidFill>
              <a:schemeClr val="tx1">
                <a:shade val="95000"/>
                <a:satMod val="105000"/>
              </a:schemeClr>
            </a:solidFill>
            <a:prstDash val="solid"/>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s-MX"/>
          </a:p>
        </c:txPr>
        <c:crossAx val="156940928"/>
        <c:crosses val="autoZero"/>
        <c:crossBetween val="between"/>
        <c:majorUnit val="40"/>
        <c:minorUnit val="6"/>
      </c:valAx>
      <c:spPr>
        <a:solidFill>
          <a:schemeClr val="bg1"/>
        </a:solidFill>
        <a:ln>
          <a:noFill/>
        </a:ln>
        <a:effectLst/>
      </c:spPr>
    </c:plotArea>
    <c:legend>
      <c:legendPos val="b"/>
      <c:layout>
        <c:manualLayout>
          <c:xMode val="edge"/>
          <c:yMode val="edge"/>
          <c:x val="0.275540663993319"/>
          <c:y val="0.80179144979758898"/>
          <c:w val="0.45357253968888001"/>
          <c:h val="0.102163352462298"/>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MX"/>
        </a:p>
      </c:txPr>
    </c:legend>
    <c:plotVisOnly val="1"/>
    <c:dispBlanksAs val="gap"/>
    <c:showDLblsOverMax val="1"/>
  </c:chart>
  <c:spPr>
    <a:noFill/>
    <a:ln w="9525" cap="flat" cmpd="sng" algn="ctr">
      <a:noFill/>
      <a:prstDash val="solid"/>
      <a:round/>
    </a:ln>
    <a:effectLst/>
  </c:spPr>
  <c:txPr>
    <a:bodyPr/>
    <a:lstStyle/>
    <a:p>
      <a:pPr>
        <a:defRPr/>
      </a:pPr>
      <a:endParaRPr lang="es-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
  <cs:axisTitle>
    <cs:lnRef idx="0"/>
    <cs:fillRef idx="0"/>
    <cs:effectRef idx="0"/>
    <cs:fontRef idx="minor">
      <a:schemeClr val="tx1"/>
    </cs:fontRef>
    <cs:defRPr sz="1000" b="1" kern="1200"/>
  </cs:axisTitle>
  <cs:categoryAxis>
    <cs:lnRef idx="1">
      <a:schemeClr val="tx1"/>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0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28574</xdr:colOff>
      <xdr:row>24</xdr:row>
      <xdr:rowOff>66675</xdr:rowOff>
    </xdr:from>
    <xdr:to>
      <xdr:col>8</xdr:col>
      <xdr:colOff>257175</xdr:colOff>
      <xdr:row>35</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xdr:colOff>
      <xdr:row>0</xdr:row>
      <xdr:rowOff>9526</xdr:rowOff>
    </xdr:from>
    <xdr:to>
      <xdr:col>1</xdr:col>
      <xdr:colOff>333376</xdr:colOff>
      <xdr:row>9</xdr:row>
      <xdr:rowOff>187603</xdr:rowOff>
    </xdr:to>
    <xdr:pic>
      <xdr:nvPicPr>
        <xdr:cNvPr id="4" name="Imagen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1" y="9526"/>
          <a:ext cx="1600200" cy="2968902"/>
        </a:xfrm>
        <a:prstGeom prst="rect">
          <a:avLst/>
        </a:prstGeom>
        <a:ln>
          <a:prstDash val="solid"/>
        </a:ln>
      </xdr:spPr>
    </xdr:pic>
    <xdr:clientData/>
  </xdr:twoCellAnchor>
  <xdr:twoCellAnchor editAs="oneCell">
    <xdr:from>
      <xdr:col>8</xdr:col>
      <xdr:colOff>581024</xdr:colOff>
      <xdr:row>50</xdr:row>
      <xdr:rowOff>173328</xdr:rowOff>
    </xdr:from>
    <xdr:to>
      <xdr:col>10</xdr:col>
      <xdr:colOff>183725</xdr:colOff>
      <xdr:row>58</xdr:row>
      <xdr:rowOff>116204</xdr:rowOff>
    </xdr:to>
    <xdr:pic>
      <xdr:nvPicPr>
        <xdr:cNvPr id="5" name="Imagen 4">
          <a:extLst>
            <a:ext uri="{FF2B5EF4-FFF2-40B4-BE49-F238E27FC236}">
              <a16:creationId xmlns:a16="http://schemas.microsoft.com/office/drawing/2014/main" id="{2FA23CD5-D2CA-4D95-9BE2-B3C00E414055}"/>
            </a:ext>
          </a:extLst>
        </xdr:cNvPr>
        <xdr:cNvPicPr>
          <a:picLocks noChangeAspect="1"/>
        </xdr:cNvPicPr>
      </xdr:nvPicPr>
      <xdr:blipFill>
        <a:blip xmlns:r="http://schemas.openxmlformats.org/officeDocument/2006/relationships" r:embed="rId3"/>
        <a:stretch>
          <a:fillRect/>
        </a:stretch>
      </xdr:blipFill>
      <xdr:spPr>
        <a:xfrm>
          <a:off x="10273664" y="15763848"/>
          <a:ext cx="1690581" cy="1634516"/>
        </a:xfrm>
        <a:prstGeom prst="rect">
          <a:avLst/>
        </a:prstGeom>
        <a:ln>
          <a:prstDash val="solid"/>
        </a:ln>
      </xdr:spPr>
    </xdr:pic>
    <xdr:clientData/>
  </xdr:twoCellAnchor>
  <mc:AlternateContent xmlns:mc="http://schemas.openxmlformats.org/markup-compatibility/2006">
    <mc:Choice xmlns:a14="http://schemas.microsoft.com/office/drawing/2010/main" Requires="a14">
      <xdr:twoCellAnchor>
        <xdr:from>
          <xdr:col>8</xdr:col>
          <xdr:colOff>548640</xdr:colOff>
          <xdr:row>3</xdr:row>
          <xdr:rowOff>60960</xdr:rowOff>
        </xdr:from>
        <xdr:to>
          <xdr:col>10</xdr:col>
          <xdr:colOff>1005840</xdr:colOff>
          <xdr:row>6</xdr:row>
          <xdr:rowOff>167640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MX" sz="1000" b="0" i="0" u="none" strike="noStrike" baseline="0">
                  <a:solidFill>
                    <a:srgbClr val="000000"/>
                  </a:solidFill>
                  <a:latin typeface="Arial"/>
                  <a:cs typeface="Arial"/>
                </a:rPr>
                <a:t>PDF</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Javier%20Monsivais/Mis%20documentos/CFiliberto%20S/Archivos%20de%20F/Filiberto/I_ccformato_ultimo(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nts%20and%20Settings/Javier%20Monsivais/Mis%20documentos/CFiliberto%20S/Archivos%20de%20F/Filiberto/EX-HACIENDA%20LA%20LLAV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sheetName val="TSGN 1"/>
    </sheetNames>
    <sheetDataSet>
      <sheetData sheetId="0">
        <row r="2">
          <cell r="B2" t="str">
            <v>ITM</v>
          </cell>
          <cell r="J2" t="str">
            <v>ITM-NQOD</v>
          </cell>
        </row>
        <row r="3">
          <cell r="B3" t="str">
            <v>square'd I- Line</v>
          </cell>
          <cell r="J3" t="str">
            <v>square'd I- Line</v>
          </cell>
        </row>
        <row r="4">
          <cell r="B4">
            <v>0.999</v>
          </cell>
          <cell r="C4" t="str">
            <v>ITM nom</v>
          </cell>
          <cell r="D4" t="str">
            <v>CATALOGO</v>
          </cell>
          <cell r="E4" t="str">
            <v>Cable de tierra</v>
          </cell>
          <cell r="F4" t="str">
            <v>MARCO</v>
          </cell>
          <cell r="G4" t="str">
            <v>Cap. Int.</v>
          </cell>
          <cell r="J4">
            <v>0.999</v>
          </cell>
          <cell r="K4" t="str">
            <v>ITM nom</v>
          </cell>
          <cell r="L4" t="str">
            <v>CATALOGO</v>
          </cell>
          <cell r="M4" t="str">
            <v>Cable de tierra</v>
          </cell>
          <cell r="N4" t="str">
            <v>MARCO</v>
          </cell>
          <cell r="O4" t="str">
            <v>Cap. Int.</v>
          </cell>
        </row>
        <row r="5">
          <cell r="B5">
            <v>0</v>
          </cell>
          <cell r="C5">
            <v>1E-3</v>
          </cell>
          <cell r="D5" t="str">
            <v>FA360</v>
          </cell>
          <cell r="E5">
            <v>14</v>
          </cell>
          <cell r="F5" t="str">
            <v>FA</v>
          </cell>
          <cell r="G5">
            <v>18</v>
          </cell>
          <cell r="J5">
            <v>0</v>
          </cell>
          <cell r="K5">
            <v>0.1</v>
          </cell>
          <cell r="L5" t="str">
            <v>QO</v>
          </cell>
          <cell r="M5">
            <v>14</v>
          </cell>
          <cell r="N5" t="str">
            <v>QO</v>
          </cell>
          <cell r="O5">
            <v>10</v>
          </cell>
        </row>
        <row r="6">
          <cell r="B6">
            <v>9.990000000000001E-4</v>
          </cell>
          <cell r="C6">
            <v>20</v>
          </cell>
          <cell r="D6" t="str">
            <v>FA360</v>
          </cell>
          <cell r="E6">
            <v>14</v>
          </cell>
          <cell r="F6" t="str">
            <v>FA</v>
          </cell>
          <cell r="G6">
            <v>18</v>
          </cell>
          <cell r="J6">
            <v>9.9900000000000003E-2</v>
          </cell>
          <cell r="K6">
            <v>20</v>
          </cell>
          <cell r="L6" t="str">
            <v>QO</v>
          </cell>
          <cell r="M6">
            <v>14</v>
          </cell>
          <cell r="N6" t="str">
            <v>QO</v>
          </cell>
          <cell r="O6">
            <v>10</v>
          </cell>
        </row>
        <row r="7">
          <cell r="B7">
            <v>19.98</v>
          </cell>
          <cell r="C7">
            <v>20</v>
          </cell>
          <cell r="D7" t="str">
            <v>FA360</v>
          </cell>
          <cell r="E7">
            <v>12</v>
          </cell>
          <cell r="F7" t="str">
            <v>FA</v>
          </cell>
          <cell r="G7">
            <v>18</v>
          </cell>
          <cell r="J7">
            <v>19.98</v>
          </cell>
          <cell r="K7">
            <v>20</v>
          </cell>
          <cell r="L7" t="str">
            <v>QO</v>
          </cell>
          <cell r="M7">
            <v>12</v>
          </cell>
          <cell r="N7" t="str">
            <v>QO</v>
          </cell>
          <cell r="O7">
            <v>10</v>
          </cell>
        </row>
        <row r="8">
          <cell r="B8">
            <v>19.98</v>
          </cell>
          <cell r="C8">
            <v>30</v>
          </cell>
          <cell r="D8" t="str">
            <v>FA360</v>
          </cell>
          <cell r="E8">
            <v>12</v>
          </cell>
          <cell r="F8" t="str">
            <v>FA</v>
          </cell>
          <cell r="G8">
            <v>18</v>
          </cell>
          <cell r="J8">
            <v>19.98</v>
          </cell>
          <cell r="K8">
            <v>30</v>
          </cell>
          <cell r="L8" t="str">
            <v>QO</v>
          </cell>
          <cell r="M8">
            <v>10</v>
          </cell>
          <cell r="N8" t="str">
            <v>QO</v>
          </cell>
          <cell r="O8">
            <v>10</v>
          </cell>
        </row>
        <row r="9">
          <cell r="B9">
            <v>29.97</v>
          </cell>
          <cell r="C9">
            <v>40</v>
          </cell>
          <cell r="D9" t="str">
            <v>FA360</v>
          </cell>
          <cell r="E9">
            <v>12</v>
          </cell>
          <cell r="F9" t="str">
            <v>FA</v>
          </cell>
          <cell r="G9">
            <v>18</v>
          </cell>
          <cell r="J9">
            <v>29.97</v>
          </cell>
          <cell r="K9">
            <v>40</v>
          </cell>
          <cell r="L9" t="str">
            <v>QO</v>
          </cell>
          <cell r="M9">
            <v>10</v>
          </cell>
          <cell r="N9" t="str">
            <v>QO</v>
          </cell>
          <cell r="O9">
            <v>10</v>
          </cell>
        </row>
        <row r="10">
          <cell r="B10">
            <v>39.96</v>
          </cell>
          <cell r="C10">
            <v>50</v>
          </cell>
          <cell r="D10" t="str">
            <v>FA360</v>
          </cell>
          <cell r="E10">
            <v>10</v>
          </cell>
          <cell r="F10" t="str">
            <v>FA</v>
          </cell>
          <cell r="G10">
            <v>18</v>
          </cell>
          <cell r="J10">
            <v>39.96</v>
          </cell>
          <cell r="K10">
            <v>50</v>
          </cell>
          <cell r="L10" t="str">
            <v>QO</v>
          </cell>
          <cell r="M10">
            <v>10</v>
          </cell>
          <cell r="N10" t="str">
            <v>QO</v>
          </cell>
          <cell r="O10">
            <v>10</v>
          </cell>
        </row>
        <row r="11">
          <cell r="B11">
            <v>49.95</v>
          </cell>
          <cell r="C11">
            <v>70</v>
          </cell>
          <cell r="D11" t="str">
            <v>FA360</v>
          </cell>
          <cell r="E11">
            <v>10</v>
          </cell>
          <cell r="F11" t="str">
            <v>FA</v>
          </cell>
          <cell r="G11">
            <v>18</v>
          </cell>
          <cell r="J11">
            <v>49.95</v>
          </cell>
          <cell r="K11">
            <v>70</v>
          </cell>
          <cell r="L11" t="str">
            <v>QO</v>
          </cell>
          <cell r="M11">
            <v>10</v>
          </cell>
          <cell r="N11" t="str">
            <v>QO</v>
          </cell>
          <cell r="O11">
            <v>10</v>
          </cell>
        </row>
        <row r="12">
          <cell r="B12">
            <v>69.930000000000007</v>
          </cell>
          <cell r="C12">
            <v>100</v>
          </cell>
          <cell r="D12" t="str">
            <v>FA36</v>
          </cell>
          <cell r="E12">
            <v>8</v>
          </cell>
          <cell r="F12" t="str">
            <v>FA</v>
          </cell>
          <cell r="G12">
            <v>18</v>
          </cell>
          <cell r="J12">
            <v>69.930000000000007</v>
          </cell>
          <cell r="K12">
            <v>100</v>
          </cell>
          <cell r="L12" t="str">
            <v>QO</v>
          </cell>
          <cell r="M12">
            <v>8</v>
          </cell>
          <cell r="N12" t="str">
            <v>QO</v>
          </cell>
          <cell r="O12">
            <v>10</v>
          </cell>
        </row>
        <row r="13">
          <cell r="B13">
            <v>99.9</v>
          </cell>
          <cell r="C13">
            <v>125</v>
          </cell>
          <cell r="D13" t="str">
            <v>KA36</v>
          </cell>
          <cell r="E13">
            <v>6</v>
          </cell>
          <cell r="F13" t="str">
            <v>KA</v>
          </cell>
          <cell r="G13">
            <v>25</v>
          </cell>
          <cell r="J13">
            <v>99.9</v>
          </cell>
          <cell r="K13">
            <v>125</v>
          </cell>
          <cell r="L13" t="str">
            <v>QO</v>
          </cell>
          <cell r="M13">
            <v>6</v>
          </cell>
          <cell r="N13" t="str">
            <v>QO</v>
          </cell>
        </row>
        <row r="14">
          <cell r="B14">
            <v>124.875</v>
          </cell>
          <cell r="C14">
            <v>150</v>
          </cell>
          <cell r="D14" t="str">
            <v>KA36</v>
          </cell>
          <cell r="E14">
            <v>6</v>
          </cell>
          <cell r="F14" t="str">
            <v>KA</v>
          </cell>
          <cell r="G14">
            <v>25</v>
          </cell>
          <cell r="J14">
            <v>124.875</v>
          </cell>
          <cell r="K14">
            <v>150</v>
          </cell>
          <cell r="L14" t="str">
            <v>QO</v>
          </cell>
          <cell r="M14">
            <v>6</v>
          </cell>
          <cell r="N14" t="str">
            <v>QO</v>
          </cell>
        </row>
        <row r="15">
          <cell r="B15">
            <v>149.85</v>
          </cell>
          <cell r="C15">
            <v>175</v>
          </cell>
          <cell r="D15" t="str">
            <v>KA36</v>
          </cell>
          <cell r="E15">
            <v>6</v>
          </cell>
          <cell r="F15" t="str">
            <v>KA</v>
          </cell>
          <cell r="G15">
            <v>25</v>
          </cell>
          <cell r="J15">
            <v>149.85</v>
          </cell>
          <cell r="K15">
            <v>175</v>
          </cell>
          <cell r="L15" t="str">
            <v>QO</v>
          </cell>
          <cell r="M15">
            <v>6</v>
          </cell>
          <cell r="N15" t="str">
            <v>QO</v>
          </cell>
        </row>
        <row r="16">
          <cell r="B16">
            <v>174.82499999999999</v>
          </cell>
          <cell r="C16">
            <v>200</v>
          </cell>
          <cell r="D16" t="str">
            <v>KA36</v>
          </cell>
          <cell r="E16">
            <v>6</v>
          </cell>
          <cell r="F16" t="str">
            <v>KA</v>
          </cell>
          <cell r="G16">
            <v>25</v>
          </cell>
          <cell r="J16">
            <v>174.82499999999999</v>
          </cell>
          <cell r="K16">
            <v>200</v>
          </cell>
          <cell r="L16" t="str">
            <v>QO</v>
          </cell>
          <cell r="M16">
            <v>6</v>
          </cell>
          <cell r="N16" t="str">
            <v>QO</v>
          </cell>
        </row>
        <row r="17">
          <cell r="B17">
            <v>199.8</v>
          </cell>
          <cell r="C17">
            <v>225</v>
          </cell>
          <cell r="D17" t="str">
            <v>KA36</v>
          </cell>
          <cell r="E17">
            <v>4</v>
          </cell>
          <cell r="F17" t="str">
            <v>KA</v>
          </cell>
          <cell r="G17">
            <v>25</v>
          </cell>
          <cell r="J17">
            <v>199.8</v>
          </cell>
          <cell r="K17">
            <v>225</v>
          </cell>
          <cell r="L17" t="str">
            <v>QO</v>
          </cell>
          <cell r="M17">
            <v>4</v>
          </cell>
          <cell r="N17" t="str">
            <v>QO</v>
          </cell>
        </row>
        <row r="18">
          <cell r="B18">
            <v>224.77500000000001</v>
          </cell>
          <cell r="C18">
            <v>250</v>
          </cell>
          <cell r="D18" t="str">
            <v>KA36</v>
          </cell>
          <cell r="E18">
            <v>4</v>
          </cell>
          <cell r="F18" t="str">
            <v>KA</v>
          </cell>
          <cell r="G18">
            <v>25</v>
          </cell>
          <cell r="J18">
            <v>224.77500000000001</v>
          </cell>
          <cell r="K18">
            <v>250</v>
          </cell>
          <cell r="L18" t="str">
            <v>QO</v>
          </cell>
          <cell r="M18">
            <v>4</v>
          </cell>
          <cell r="N18" t="str">
            <v>QO</v>
          </cell>
        </row>
        <row r="19">
          <cell r="B19">
            <v>249.75</v>
          </cell>
          <cell r="C19">
            <v>300</v>
          </cell>
          <cell r="D19" t="str">
            <v>LA36</v>
          </cell>
          <cell r="E19">
            <v>4</v>
          </cell>
          <cell r="F19" t="str">
            <v>LA</v>
          </cell>
          <cell r="G19">
            <v>30</v>
          </cell>
          <cell r="J19">
            <v>249.75</v>
          </cell>
          <cell r="K19">
            <v>300</v>
          </cell>
          <cell r="L19" t="str">
            <v>QO</v>
          </cell>
          <cell r="M19">
            <v>4</v>
          </cell>
          <cell r="N19" t="str">
            <v>QO</v>
          </cell>
        </row>
        <row r="20">
          <cell r="B20">
            <v>299.7</v>
          </cell>
          <cell r="C20">
            <v>350</v>
          </cell>
          <cell r="D20" t="str">
            <v>LA36</v>
          </cell>
          <cell r="E20">
            <v>2</v>
          </cell>
          <cell r="F20" t="str">
            <v>LA</v>
          </cell>
          <cell r="G20">
            <v>30</v>
          </cell>
          <cell r="J20">
            <v>299.7</v>
          </cell>
          <cell r="K20">
            <v>350</v>
          </cell>
          <cell r="L20" t="str">
            <v>QO</v>
          </cell>
          <cell r="M20">
            <v>2</v>
          </cell>
          <cell r="N20" t="str">
            <v>QO</v>
          </cell>
        </row>
        <row r="21">
          <cell r="B21">
            <v>349.65</v>
          </cell>
          <cell r="C21">
            <v>400</v>
          </cell>
          <cell r="D21" t="str">
            <v>LA36</v>
          </cell>
          <cell r="E21">
            <v>2</v>
          </cell>
          <cell r="F21" t="str">
            <v>LA</v>
          </cell>
          <cell r="G21">
            <v>30</v>
          </cell>
          <cell r="J21">
            <v>349.65</v>
          </cell>
          <cell r="K21">
            <v>400</v>
          </cell>
          <cell r="L21" t="str">
            <v>QO</v>
          </cell>
          <cell r="M21">
            <v>2</v>
          </cell>
          <cell r="N21" t="str">
            <v>QO</v>
          </cell>
        </row>
        <row r="22">
          <cell r="B22">
            <v>399.6</v>
          </cell>
          <cell r="C22">
            <v>500</v>
          </cell>
          <cell r="D22" t="str">
            <v>MA36</v>
          </cell>
          <cell r="E22">
            <v>2</v>
          </cell>
          <cell r="F22" t="str">
            <v>MA</v>
          </cell>
          <cell r="G22">
            <v>30</v>
          </cell>
          <cell r="J22">
            <v>399.6</v>
          </cell>
          <cell r="K22">
            <v>500</v>
          </cell>
          <cell r="L22" t="str">
            <v>QO</v>
          </cell>
          <cell r="M22">
            <v>2</v>
          </cell>
          <cell r="N22" t="str">
            <v>QO</v>
          </cell>
        </row>
        <row r="23">
          <cell r="B23">
            <v>499.5</v>
          </cell>
          <cell r="C23">
            <v>600</v>
          </cell>
          <cell r="D23" t="str">
            <v>MA36</v>
          </cell>
          <cell r="E23" t="str">
            <v>1/0</v>
          </cell>
          <cell r="F23" t="str">
            <v>MA</v>
          </cell>
          <cell r="G23">
            <v>30</v>
          </cell>
          <cell r="J23">
            <v>499.5</v>
          </cell>
          <cell r="K23">
            <v>600</v>
          </cell>
          <cell r="L23" t="str">
            <v>QO</v>
          </cell>
          <cell r="M23" t="str">
            <v>1/0</v>
          </cell>
          <cell r="N23" t="str">
            <v>QO</v>
          </cell>
        </row>
        <row r="24">
          <cell r="B24">
            <v>599.4</v>
          </cell>
          <cell r="C24">
            <v>700</v>
          </cell>
          <cell r="D24" t="str">
            <v>MA36</v>
          </cell>
          <cell r="E24" t="str">
            <v>1/0</v>
          </cell>
          <cell r="F24" t="str">
            <v>MA</v>
          </cell>
          <cell r="G24">
            <v>30</v>
          </cell>
          <cell r="J24">
            <v>599.4</v>
          </cell>
          <cell r="K24">
            <v>700</v>
          </cell>
          <cell r="L24" t="str">
            <v>QO</v>
          </cell>
          <cell r="M24" t="str">
            <v>1/0</v>
          </cell>
          <cell r="N24" t="str">
            <v>QO</v>
          </cell>
        </row>
        <row r="25">
          <cell r="B25">
            <v>699.3</v>
          </cell>
          <cell r="C25">
            <v>800</v>
          </cell>
          <cell r="D25" t="str">
            <v>MA36</v>
          </cell>
          <cell r="E25" t="str">
            <v>1/0</v>
          </cell>
          <cell r="F25" t="str">
            <v>MA</v>
          </cell>
          <cell r="G25">
            <v>30</v>
          </cell>
          <cell r="J25">
            <v>699.3</v>
          </cell>
          <cell r="K25">
            <v>800</v>
          </cell>
          <cell r="L25" t="str">
            <v>QO</v>
          </cell>
          <cell r="M25" t="str">
            <v>1/0</v>
          </cell>
          <cell r="N25" t="str">
            <v>QO</v>
          </cell>
        </row>
        <row r="26">
          <cell r="B26">
            <v>799.2</v>
          </cell>
          <cell r="C26">
            <v>900</v>
          </cell>
          <cell r="D26" t="str">
            <v>NA36</v>
          </cell>
          <cell r="E26" t="str">
            <v>2/0</v>
          </cell>
          <cell r="F26" t="str">
            <v>NA</v>
          </cell>
          <cell r="G26">
            <v>50</v>
          </cell>
          <cell r="J26">
            <v>799.2</v>
          </cell>
          <cell r="K26">
            <v>900</v>
          </cell>
          <cell r="L26" t="str">
            <v>QO</v>
          </cell>
          <cell r="M26" t="str">
            <v>2/0</v>
          </cell>
          <cell r="N26" t="str">
            <v>QO</v>
          </cell>
        </row>
        <row r="27">
          <cell r="B27">
            <v>899.1</v>
          </cell>
          <cell r="C27">
            <v>1000</v>
          </cell>
          <cell r="D27" t="str">
            <v>NA36</v>
          </cell>
          <cell r="E27" t="str">
            <v>2/0</v>
          </cell>
          <cell r="F27" t="str">
            <v>NA</v>
          </cell>
          <cell r="G27">
            <v>50</v>
          </cell>
          <cell r="J27">
            <v>899.1</v>
          </cell>
          <cell r="K27">
            <v>1000</v>
          </cell>
          <cell r="L27" t="str">
            <v>QO</v>
          </cell>
          <cell r="M27" t="str">
            <v>2/0</v>
          </cell>
          <cell r="N27" t="str">
            <v>QO</v>
          </cell>
        </row>
        <row r="28">
          <cell r="B28">
            <v>999</v>
          </cell>
          <cell r="C28">
            <v>1200</v>
          </cell>
          <cell r="D28" t="str">
            <v>NA36</v>
          </cell>
          <cell r="E28" t="str">
            <v>3/0</v>
          </cell>
          <cell r="F28" t="str">
            <v>NA</v>
          </cell>
          <cell r="G28">
            <v>50</v>
          </cell>
          <cell r="J28">
            <v>999</v>
          </cell>
          <cell r="K28">
            <v>1200</v>
          </cell>
          <cell r="L28" t="str">
            <v>QO</v>
          </cell>
          <cell r="M28" t="str">
            <v>3/0</v>
          </cell>
          <cell r="N28" t="str">
            <v>QO</v>
          </cell>
        </row>
        <row r="29">
          <cell r="B29">
            <v>1198.8</v>
          </cell>
          <cell r="C29">
            <v>1600</v>
          </cell>
          <cell r="D29" t="str">
            <v>NA36</v>
          </cell>
          <cell r="E29" t="str">
            <v>4/0</v>
          </cell>
          <cell r="F29" t="str">
            <v>NA</v>
          </cell>
          <cell r="G29">
            <v>50</v>
          </cell>
          <cell r="J29">
            <v>1198.8</v>
          </cell>
          <cell r="K29">
            <v>1600</v>
          </cell>
          <cell r="M29" t="str">
            <v>4/0</v>
          </cell>
        </row>
        <row r="30">
          <cell r="B30">
            <v>1598.4</v>
          </cell>
          <cell r="C30">
            <v>2000</v>
          </cell>
          <cell r="E30">
            <v>250</v>
          </cell>
          <cell r="J30">
            <v>1598.4</v>
          </cell>
          <cell r="K30">
            <v>2000</v>
          </cell>
          <cell r="M30">
            <v>250</v>
          </cell>
        </row>
        <row r="31">
          <cell r="B31">
            <v>1998</v>
          </cell>
          <cell r="C31">
            <v>2500</v>
          </cell>
          <cell r="E31">
            <v>350</v>
          </cell>
          <cell r="J31">
            <v>1998</v>
          </cell>
          <cell r="K31">
            <v>2500</v>
          </cell>
          <cell r="M31">
            <v>350</v>
          </cell>
        </row>
        <row r="32">
          <cell r="B32">
            <v>2497.5</v>
          </cell>
          <cell r="C32">
            <v>3000</v>
          </cell>
          <cell r="E32">
            <v>400</v>
          </cell>
          <cell r="J32">
            <v>2497.5</v>
          </cell>
          <cell r="K32">
            <v>3000</v>
          </cell>
          <cell r="M32">
            <v>400</v>
          </cell>
        </row>
        <row r="33">
          <cell r="B33">
            <v>2997</v>
          </cell>
          <cell r="C33">
            <v>4000</v>
          </cell>
          <cell r="E33">
            <v>500</v>
          </cell>
          <cell r="J33">
            <v>2997</v>
          </cell>
          <cell r="K33">
            <v>4000</v>
          </cell>
          <cell r="M33">
            <v>500</v>
          </cell>
        </row>
        <row r="34">
          <cell r="B34">
            <v>3996</v>
          </cell>
          <cell r="C34">
            <v>5000</v>
          </cell>
          <cell r="E34">
            <v>700</v>
          </cell>
          <cell r="J34">
            <v>3996</v>
          </cell>
          <cell r="K34">
            <v>5000</v>
          </cell>
          <cell r="M34">
            <v>700</v>
          </cell>
        </row>
        <row r="35">
          <cell r="B35">
            <v>4995</v>
          </cell>
          <cell r="C35">
            <v>6000</v>
          </cell>
          <cell r="E35">
            <v>800</v>
          </cell>
          <cell r="J35">
            <v>4995</v>
          </cell>
          <cell r="K35">
            <v>6000</v>
          </cell>
          <cell r="M35">
            <v>800</v>
          </cell>
        </row>
        <row r="66">
          <cell r="B66" t="str">
            <v>NOM310</v>
          </cell>
        </row>
        <row r="67">
          <cell r="C67" t="str">
            <v>NOM31017</v>
          </cell>
          <cell r="F67" t="str">
            <v>FP=</v>
          </cell>
          <cell r="G67">
            <v>0.9</v>
          </cell>
        </row>
        <row r="68">
          <cell r="C68" t="str">
            <v>310-17</v>
          </cell>
          <cell r="D68" t="str">
            <v>R</v>
          </cell>
          <cell r="E68" t="str">
            <v>R</v>
          </cell>
          <cell r="F68" t="str">
            <v>XL</v>
          </cell>
          <cell r="G68" t="str">
            <v>Z</v>
          </cell>
          <cell r="H68" t="str">
            <v>c/forro</v>
          </cell>
          <cell r="I68" t="str">
            <v>desnudo</v>
          </cell>
        </row>
        <row r="69">
          <cell r="B69" t="str">
            <v>AWG/KCM</v>
          </cell>
          <cell r="C69" t="str">
            <v>Cu 75°C</v>
          </cell>
          <cell r="D69">
            <v>20</v>
          </cell>
          <cell r="E69">
            <v>40</v>
          </cell>
          <cell r="H69" t="str">
            <v>f mm</v>
          </cell>
          <cell r="I69" t="str">
            <v>f mm</v>
          </cell>
        </row>
        <row r="70">
          <cell r="B70">
            <v>2</v>
          </cell>
          <cell r="C70">
            <v>115</v>
          </cell>
          <cell r="D70">
            <v>0.53200000000000003</v>
          </cell>
          <cell r="E70">
            <v>0.57381520000000008</v>
          </cell>
          <cell r="F70">
            <v>0.11600000000000001</v>
          </cell>
          <cell r="G70">
            <v>0.56699690774507194</v>
          </cell>
          <cell r="H70">
            <v>10.4</v>
          </cell>
          <cell r="I70">
            <v>7.42</v>
          </cell>
        </row>
        <row r="71">
          <cell r="B71">
            <v>4</v>
          </cell>
          <cell r="C71">
            <v>85</v>
          </cell>
          <cell r="D71">
            <v>0.84599999999999997</v>
          </cell>
          <cell r="E71">
            <v>0.91249559999999996</v>
          </cell>
          <cell r="F71">
            <v>0.11749999999999999</v>
          </cell>
          <cell r="G71">
            <v>0.87246310258660287</v>
          </cell>
          <cell r="H71">
            <v>8.4</v>
          </cell>
          <cell r="I71">
            <v>5.88</v>
          </cell>
        </row>
        <row r="72">
          <cell r="B72">
            <v>6</v>
          </cell>
          <cell r="C72">
            <v>65</v>
          </cell>
          <cell r="D72">
            <v>1.35</v>
          </cell>
          <cell r="E72">
            <v>1.45611</v>
          </cell>
          <cell r="F72">
            <v>0.12839999999999999</v>
          </cell>
          <cell r="G72">
            <v>1.3664672624350622</v>
          </cell>
          <cell r="H72">
            <v>7.7</v>
          </cell>
          <cell r="I72">
            <v>4.66</v>
          </cell>
        </row>
        <row r="73">
          <cell r="B73">
            <v>8</v>
          </cell>
          <cell r="C73">
            <v>50</v>
          </cell>
          <cell r="D73">
            <v>2.14</v>
          </cell>
          <cell r="E73">
            <v>2.3082039999999999</v>
          </cell>
          <cell r="F73">
            <v>0.127</v>
          </cell>
          <cell r="G73">
            <v>2.1327416165829667</v>
          </cell>
          <cell r="H73">
            <v>6</v>
          </cell>
          <cell r="I73">
            <v>3.7</v>
          </cell>
        </row>
        <row r="74">
          <cell r="B74">
            <v>10</v>
          </cell>
          <cell r="C74">
            <v>35</v>
          </cell>
          <cell r="D74">
            <v>3.335</v>
          </cell>
          <cell r="E74">
            <v>3.5971310000000001</v>
          </cell>
          <cell r="F74">
            <v>0.1212</v>
          </cell>
          <cell r="G74">
            <v>3.290247755195713</v>
          </cell>
          <cell r="H74">
            <v>4.4000000000000004</v>
          </cell>
          <cell r="I74">
            <v>2.93</v>
          </cell>
        </row>
        <row r="75">
          <cell r="B75">
            <v>12</v>
          </cell>
          <cell r="C75">
            <v>25</v>
          </cell>
          <cell r="D75">
            <v>4.0999999999999996</v>
          </cell>
          <cell r="E75">
            <v>4.4222599999999996</v>
          </cell>
          <cell r="F75">
            <v>0.1212</v>
          </cell>
          <cell r="G75">
            <v>4.0328638551957132</v>
          </cell>
          <cell r="H75">
            <v>4</v>
          </cell>
          <cell r="I75">
            <v>2.93</v>
          </cell>
        </row>
        <row r="76">
          <cell r="B76">
            <v>14</v>
          </cell>
          <cell r="C76">
            <v>20</v>
          </cell>
          <cell r="D76">
            <v>4.7</v>
          </cell>
          <cell r="E76">
            <v>5.06942</v>
          </cell>
          <cell r="F76">
            <v>0.12</v>
          </cell>
          <cell r="G76">
            <v>4.6147847873224883</v>
          </cell>
          <cell r="H76">
            <v>3.6</v>
          </cell>
          <cell r="I76">
            <v>2.93</v>
          </cell>
        </row>
        <row r="77">
          <cell r="B77">
            <v>250</v>
          </cell>
          <cell r="C77">
            <v>255</v>
          </cell>
          <cell r="D77">
            <v>0.14099999999999999</v>
          </cell>
          <cell r="E77">
            <v>0.15208259999999998</v>
          </cell>
          <cell r="F77">
            <v>0.1109</v>
          </cell>
          <cell r="G77">
            <v>0.18521452928386606</v>
          </cell>
          <cell r="H77">
            <v>19.399999999999999</v>
          </cell>
          <cell r="I77">
            <v>14.62</v>
          </cell>
        </row>
        <row r="78">
          <cell r="B78">
            <v>300</v>
          </cell>
          <cell r="C78">
            <v>285</v>
          </cell>
          <cell r="D78">
            <v>0.11799999999999999</v>
          </cell>
          <cell r="E78">
            <v>0.12727479999999999</v>
          </cell>
          <cell r="F78">
            <v>0.10929999999999999</v>
          </cell>
          <cell r="G78">
            <v>0.16219008545289954</v>
          </cell>
          <cell r="H78">
            <v>20.8</v>
          </cell>
          <cell r="I78">
            <v>16.010000000000002</v>
          </cell>
        </row>
        <row r="79">
          <cell r="B79">
            <v>350</v>
          </cell>
          <cell r="C79">
            <v>310</v>
          </cell>
          <cell r="D79">
            <v>0.10100000000000001</v>
          </cell>
          <cell r="E79">
            <v>0.10893860000000001</v>
          </cell>
          <cell r="F79">
            <v>0.108</v>
          </cell>
          <cell r="G79">
            <v>0.14512084859023927</v>
          </cell>
          <cell r="H79">
            <v>22.1</v>
          </cell>
          <cell r="I79">
            <v>17.3</v>
          </cell>
        </row>
        <row r="80">
          <cell r="B80">
            <v>400</v>
          </cell>
          <cell r="C80">
            <v>335</v>
          </cell>
          <cell r="D80">
            <v>8.9200000000000002E-2</v>
          </cell>
          <cell r="E80">
            <v>9.6211119999999997E-2</v>
          </cell>
          <cell r="F80">
            <v>0.107</v>
          </cell>
          <cell r="G80">
            <v>0.13323022669588519</v>
          </cell>
          <cell r="H80">
            <v>23.3</v>
          </cell>
          <cell r="I80">
            <v>18.489999999999998</v>
          </cell>
        </row>
        <row r="81">
          <cell r="B81">
            <v>500</v>
          </cell>
          <cell r="C81">
            <v>380</v>
          </cell>
          <cell r="D81">
            <v>7.0000000000000007E-2</v>
          </cell>
          <cell r="E81">
            <v>7.5502000000000014E-2</v>
          </cell>
          <cell r="F81">
            <v>0.1051</v>
          </cell>
          <cell r="G81">
            <v>0.11376382789661249</v>
          </cell>
          <cell r="H81">
            <v>25.4</v>
          </cell>
          <cell r="I81">
            <v>20.67</v>
          </cell>
        </row>
        <row r="82">
          <cell r="B82">
            <v>600</v>
          </cell>
          <cell r="C82">
            <v>420</v>
          </cell>
          <cell r="D82">
            <v>0.06</v>
          </cell>
          <cell r="E82">
            <v>6.4715999999999996E-2</v>
          </cell>
          <cell r="F82">
            <v>0.1048</v>
          </cell>
          <cell r="G82">
            <v>0.10392566092830624</v>
          </cell>
          <cell r="H82">
            <v>26.5</v>
          </cell>
          <cell r="I82">
            <v>22.5</v>
          </cell>
        </row>
        <row r="83">
          <cell r="B83">
            <v>750</v>
          </cell>
          <cell r="C83">
            <v>475</v>
          </cell>
          <cell r="D83">
            <v>4.7E-2</v>
          </cell>
          <cell r="E83">
            <v>5.0694200000000002E-2</v>
          </cell>
          <cell r="F83">
            <v>0.1038</v>
          </cell>
          <cell r="G83">
            <v>9.0870151033952185E-2</v>
          </cell>
          <cell r="H83">
            <v>30.8</v>
          </cell>
          <cell r="I83">
            <v>25.34</v>
          </cell>
        </row>
        <row r="84">
          <cell r="B84" t="str">
            <v>1/0</v>
          </cell>
          <cell r="C84">
            <v>150</v>
          </cell>
          <cell r="D84">
            <v>0.33500000000000002</v>
          </cell>
          <cell r="E84">
            <v>0.36133100000000001</v>
          </cell>
          <cell r="F84">
            <v>0.1174</v>
          </cell>
          <cell r="G84">
            <v>0.37637137359716755</v>
          </cell>
          <cell r="H84">
            <v>13.5</v>
          </cell>
          <cell r="I84">
            <v>9.4600000000000009</v>
          </cell>
        </row>
        <row r="85">
          <cell r="B85" t="str">
            <v>2/0</v>
          </cell>
          <cell r="C85">
            <v>175</v>
          </cell>
          <cell r="D85">
            <v>0.26600000000000001</v>
          </cell>
          <cell r="E85">
            <v>0.28690760000000004</v>
          </cell>
          <cell r="F85">
            <v>0.115</v>
          </cell>
          <cell r="G85">
            <v>0.30834417785071777</v>
          </cell>
          <cell r="H85">
            <v>14.7</v>
          </cell>
          <cell r="I85">
            <v>10.63</v>
          </cell>
        </row>
        <row r="86">
          <cell r="B86" t="str">
            <v>3/0</v>
          </cell>
          <cell r="C86">
            <v>200</v>
          </cell>
          <cell r="D86">
            <v>0.21099999999999999</v>
          </cell>
          <cell r="E86">
            <v>0.2275846</v>
          </cell>
          <cell r="F86">
            <v>0.11260000000000001</v>
          </cell>
          <cell r="G86">
            <v>0.25390734210426796</v>
          </cell>
          <cell r="H86">
            <v>16</v>
          </cell>
          <cell r="I86">
            <v>11.94</v>
          </cell>
        </row>
        <row r="87">
          <cell r="B87" t="str">
            <v>4/0</v>
          </cell>
          <cell r="C87">
            <v>230</v>
          </cell>
          <cell r="D87">
            <v>0.16700000000000001</v>
          </cell>
          <cell r="E87">
            <v>0.18012620000000001</v>
          </cell>
          <cell r="F87">
            <v>0.1103</v>
          </cell>
          <cell r="G87">
            <v>0.21019223534725362</v>
          </cell>
          <cell r="H87">
            <v>17.399999999999999</v>
          </cell>
          <cell r="I87">
            <v>13.4</v>
          </cell>
        </row>
        <row r="93">
          <cell r="B93" t="str">
            <v>Desnudo</v>
          </cell>
        </row>
        <row r="94">
          <cell r="B94">
            <v>2.1</v>
          </cell>
          <cell r="C94">
            <v>12</v>
          </cell>
        </row>
        <row r="95">
          <cell r="B95">
            <v>2.93</v>
          </cell>
          <cell r="C95">
            <v>10</v>
          </cell>
        </row>
        <row r="96">
          <cell r="B96">
            <v>3.7</v>
          </cell>
          <cell r="C96">
            <v>8</v>
          </cell>
        </row>
        <row r="97">
          <cell r="B97">
            <v>4.66</v>
          </cell>
          <cell r="C97">
            <v>6</v>
          </cell>
        </row>
        <row r="98">
          <cell r="B98">
            <v>5.88</v>
          </cell>
          <cell r="C98">
            <v>4</v>
          </cell>
        </row>
        <row r="99">
          <cell r="B99">
            <v>7.42</v>
          </cell>
          <cell r="C99">
            <v>2</v>
          </cell>
        </row>
        <row r="100">
          <cell r="B100">
            <v>9.4600000000000009</v>
          </cell>
          <cell r="C100" t="str">
            <v>1/0</v>
          </cell>
        </row>
        <row r="101">
          <cell r="B101">
            <v>10.63</v>
          </cell>
          <cell r="C101" t="str">
            <v>2/0</v>
          </cell>
        </row>
        <row r="102">
          <cell r="B102">
            <v>11.94</v>
          </cell>
          <cell r="C102" t="str">
            <v>3/0</v>
          </cell>
        </row>
        <row r="103">
          <cell r="B103">
            <v>13.4</v>
          </cell>
          <cell r="C103" t="str">
            <v>4/0</v>
          </cell>
        </row>
        <row r="104">
          <cell r="B104">
            <v>14.62</v>
          </cell>
          <cell r="C104">
            <v>250</v>
          </cell>
        </row>
        <row r="105">
          <cell r="B105">
            <v>16.010000000000002</v>
          </cell>
          <cell r="C105">
            <v>300</v>
          </cell>
        </row>
        <row r="106">
          <cell r="B106">
            <v>17.3</v>
          </cell>
          <cell r="C106">
            <v>350</v>
          </cell>
        </row>
        <row r="107">
          <cell r="B107">
            <v>18.489999999999998</v>
          </cell>
          <cell r="C107">
            <v>400</v>
          </cell>
        </row>
        <row r="108">
          <cell r="B108">
            <v>20.67</v>
          </cell>
          <cell r="C108">
            <v>500</v>
          </cell>
        </row>
        <row r="109">
          <cell r="B109">
            <v>22.5</v>
          </cell>
          <cell r="C109">
            <v>600</v>
          </cell>
        </row>
        <row r="110">
          <cell r="B110">
            <v>24.5</v>
          </cell>
          <cell r="C110">
            <v>700</v>
          </cell>
        </row>
        <row r="111">
          <cell r="B111">
            <v>25.34</v>
          </cell>
          <cell r="C111">
            <v>750</v>
          </cell>
        </row>
        <row r="114">
          <cell r="B114" t="str">
            <v>Charolas</v>
          </cell>
        </row>
        <row r="115">
          <cell r="B115">
            <v>0.9</v>
          </cell>
          <cell r="C115" t="str">
            <v>Ancho cm</v>
          </cell>
          <cell r="D115" t="str">
            <v>Ancho "</v>
          </cell>
        </row>
        <row r="116">
          <cell r="B116">
            <v>1</v>
          </cell>
          <cell r="C116">
            <v>152.39999999999998</v>
          </cell>
          <cell r="D116">
            <v>6</v>
          </cell>
        </row>
        <row r="117">
          <cell r="B117">
            <v>137.16</v>
          </cell>
          <cell r="C117">
            <v>228.6</v>
          </cell>
          <cell r="D117">
            <v>9</v>
          </cell>
        </row>
        <row r="118">
          <cell r="B118">
            <v>205.74</v>
          </cell>
          <cell r="C118">
            <v>304.79999999999995</v>
          </cell>
          <cell r="D118">
            <v>12</v>
          </cell>
        </row>
        <row r="119">
          <cell r="B119">
            <v>274.32</v>
          </cell>
          <cell r="C119">
            <v>406.4</v>
          </cell>
          <cell r="D119">
            <v>16</v>
          </cell>
        </row>
        <row r="120">
          <cell r="B120">
            <v>365.76</v>
          </cell>
          <cell r="C120">
            <v>457.2</v>
          </cell>
          <cell r="D120">
            <v>18</v>
          </cell>
        </row>
        <row r="121">
          <cell r="B121">
            <v>411.48</v>
          </cell>
          <cell r="C121">
            <v>508</v>
          </cell>
          <cell r="D121">
            <v>20</v>
          </cell>
        </row>
        <row r="122">
          <cell r="B122">
            <v>457.2</v>
          </cell>
          <cell r="C122">
            <v>609.59999999999991</v>
          </cell>
          <cell r="D122">
            <v>24</v>
          </cell>
        </row>
        <row r="123">
          <cell r="B123">
            <v>548.64</v>
          </cell>
          <cell r="C123">
            <v>762</v>
          </cell>
          <cell r="D123">
            <v>30</v>
          </cell>
        </row>
        <row r="124">
          <cell r="B124">
            <v>685.80000000000007</v>
          </cell>
          <cell r="C124">
            <v>914.4</v>
          </cell>
          <cell r="D124">
            <v>36</v>
          </cell>
        </row>
        <row r="125">
          <cell r="B125">
            <v>822.96</v>
          </cell>
        </row>
        <row r="148">
          <cell r="B148" t="str">
            <v>TUBERIA</v>
          </cell>
        </row>
        <row r="149">
          <cell r="B149" t="str">
            <v>40% Secc. Transv. del tubo</v>
          </cell>
          <cell r="C149" t="str">
            <v>Diametro en mm</v>
          </cell>
          <cell r="D149" t="str">
            <v>Area interior total mm2</v>
          </cell>
        </row>
        <row r="150">
          <cell r="B150">
            <v>0</v>
          </cell>
          <cell r="C150">
            <v>13</v>
          </cell>
          <cell r="D150">
            <v>194</v>
          </cell>
        </row>
        <row r="151">
          <cell r="B151">
            <v>77.600000000000009</v>
          </cell>
          <cell r="C151">
            <v>19</v>
          </cell>
          <cell r="D151">
            <v>342</v>
          </cell>
        </row>
        <row r="152">
          <cell r="B152">
            <v>136.80000000000001</v>
          </cell>
          <cell r="C152">
            <v>25</v>
          </cell>
          <cell r="D152">
            <v>555</v>
          </cell>
        </row>
        <row r="153">
          <cell r="B153">
            <v>222</v>
          </cell>
          <cell r="C153">
            <v>32</v>
          </cell>
          <cell r="D153">
            <v>968</v>
          </cell>
        </row>
        <row r="154">
          <cell r="B154">
            <v>387.20000000000005</v>
          </cell>
          <cell r="C154">
            <v>38</v>
          </cell>
          <cell r="D154">
            <v>1316</v>
          </cell>
        </row>
        <row r="155">
          <cell r="B155">
            <v>526.4</v>
          </cell>
          <cell r="C155">
            <v>51</v>
          </cell>
          <cell r="D155">
            <v>2168</v>
          </cell>
        </row>
        <row r="156">
          <cell r="B156">
            <v>867.2</v>
          </cell>
          <cell r="C156">
            <v>63</v>
          </cell>
          <cell r="D156">
            <v>3090</v>
          </cell>
        </row>
        <row r="157">
          <cell r="B157">
            <v>1236</v>
          </cell>
          <cell r="C157">
            <v>76</v>
          </cell>
          <cell r="D157">
            <v>4761</v>
          </cell>
        </row>
        <row r="158">
          <cell r="B158">
            <v>1904.4</v>
          </cell>
          <cell r="C158">
            <v>102</v>
          </cell>
          <cell r="D158">
            <v>8206</v>
          </cell>
        </row>
        <row r="159">
          <cell r="B159">
            <v>3282.4</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sheetName val="cc"/>
      <sheetName val="cc (2)"/>
    </sheetNames>
    <sheetDataSet>
      <sheetData sheetId="0">
        <row r="5">
          <cell r="A5" t="str">
            <v>CALIBRE</v>
          </cell>
        </row>
        <row r="6">
          <cell r="C6" t="str">
            <v>TEMPERATURA MAXIMA ADMISIBLE EN EL CONDUCTOR.   OPERACIÓN CONTINUA</v>
          </cell>
        </row>
        <row r="7">
          <cell r="A7" t="str">
            <v>75°C</v>
          </cell>
          <cell r="C7" t="str">
            <v>CALIBRE AWG / KCM</v>
          </cell>
          <cell r="D7" t="str">
            <v>60°C</v>
          </cell>
          <cell r="E7" t="str">
            <v>75°C</v>
          </cell>
          <cell r="F7" t="str">
            <v>90°C</v>
          </cell>
        </row>
        <row r="8">
          <cell r="D8" t="str">
            <v>Tipos:</v>
          </cell>
        </row>
        <row r="9">
          <cell r="D9" t="str">
            <v>TW, UF</v>
          </cell>
          <cell r="E9" t="str">
            <v>RHW, THW, THHW, THW-LS, THHW-LS, THWN, XHHW, USE</v>
          </cell>
          <cell r="F9" t="str">
            <v>SA, SIS, FEP, FEPB, RHH, RHW-2, THW-2, THHW, THHW-LS, TT, THWN-2, THHN, USE-2, XHHW-2, XHHW.</v>
          </cell>
        </row>
        <row r="10">
          <cell r="D10" t="str">
            <v>COBRE</v>
          </cell>
        </row>
        <row r="11">
          <cell r="A11">
            <v>9.9999999999999995E-7</v>
          </cell>
          <cell r="C11">
            <v>14</v>
          </cell>
          <cell r="E11">
            <v>20</v>
          </cell>
          <cell r="F11">
            <v>14</v>
          </cell>
        </row>
        <row r="12">
          <cell r="A12">
            <v>19.998000000000001</v>
          </cell>
          <cell r="B12">
            <v>20</v>
          </cell>
          <cell r="C12">
            <v>14</v>
          </cell>
          <cell r="E12">
            <v>20</v>
          </cell>
          <cell r="F12">
            <v>18</v>
          </cell>
        </row>
        <row r="13">
          <cell r="A13">
            <v>19.998000000000001</v>
          </cell>
          <cell r="B13">
            <v>20</v>
          </cell>
          <cell r="C13">
            <v>14</v>
          </cell>
          <cell r="D13">
            <v>20</v>
          </cell>
          <cell r="E13">
            <v>20</v>
          </cell>
          <cell r="F13">
            <v>25</v>
          </cell>
        </row>
        <row r="14">
          <cell r="A14">
            <v>19.998000000000001</v>
          </cell>
          <cell r="B14">
            <v>20</v>
          </cell>
          <cell r="C14">
            <v>12</v>
          </cell>
          <cell r="D14">
            <v>25</v>
          </cell>
          <cell r="E14">
            <v>25</v>
          </cell>
          <cell r="F14">
            <v>30</v>
          </cell>
        </row>
        <row r="15">
          <cell r="A15">
            <v>24.997499999999999</v>
          </cell>
          <cell r="B15">
            <v>25</v>
          </cell>
          <cell r="C15">
            <v>10</v>
          </cell>
          <cell r="D15">
            <v>30</v>
          </cell>
          <cell r="E15">
            <v>35</v>
          </cell>
          <cell r="F15">
            <v>40</v>
          </cell>
        </row>
        <row r="16">
          <cell r="A16">
            <v>34.996499999999997</v>
          </cell>
          <cell r="B16">
            <v>35</v>
          </cell>
          <cell r="C16">
            <v>8</v>
          </cell>
          <cell r="D16">
            <v>40</v>
          </cell>
          <cell r="E16">
            <v>50</v>
          </cell>
          <cell r="F16">
            <v>55</v>
          </cell>
        </row>
        <row r="17">
          <cell r="A17">
            <v>49.994999999999997</v>
          </cell>
          <cell r="B17">
            <v>50</v>
          </cell>
          <cell r="C17">
            <v>6</v>
          </cell>
          <cell r="D17">
            <v>55</v>
          </cell>
          <cell r="E17">
            <v>65</v>
          </cell>
          <cell r="F17">
            <v>75</v>
          </cell>
        </row>
        <row r="18">
          <cell r="A18">
            <v>64.993499999999997</v>
          </cell>
          <cell r="B18">
            <v>65</v>
          </cell>
          <cell r="C18">
            <v>4</v>
          </cell>
          <cell r="D18">
            <v>70</v>
          </cell>
          <cell r="E18">
            <v>85</v>
          </cell>
          <cell r="F18">
            <v>95</v>
          </cell>
        </row>
        <row r="19">
          <cell r="A19">
            <v>84.991500000000002</v>
          </cell>
          <cell r="B19">
            <v>85</v>
          </cell>
          <cell r="C19">
            <v>2</v>
          </cell>
          <cell r="D19">
            <v>95</v>
          </cell>
          <cell r="E19">
            <v>115</v>
          </cell>
          <cell r="F19">
            <v>130</v>
          </cell>
        </row>
        <row r="20">
          <cell r="A20">
            <v>114.9885</v>
          </cell>
          <cell r="B20">
            <v>115</v>
          </cell>
          <cell r="C20" t="str">
            <v>1/0</v>
          </cell>
          <cell r="D20">
            <v>125</v>
          </cell>
          <cell r="E20">
            <v>150</v>
          </cell>
          <cell r="F20">
            <v>170</v>
          </cell>
        </row>
        <row r="21">
          <cell r="A21">
            <v>149.98500000000001</v>
          </cell>
          <cell r="B21">
            <v>150</v>
          </cell>
          <cell r="C21" t="str">
            <v>2/0</v>
          </cell>
          <cell r="D21">
            <v>145</v>
          </cell>
          <cell r="E21">
            <v>175</v>
          </cell>
          <cell r="F21">
            <v>195</v>
          </cell>
        </row>
        <row r="22">
          <cell r="A22">
            <v>174.98250000000002</v>
          </cell>
          <cell r="B22">
            <v>175</v>
          </cell>
          <cell r="C22" t="str">
            <v>3/0</v>
          </cell>
          <cell r="D22">
            <v>165</v>
          </cell>
          <cell r="E22">
            <v>200</v>
          </cell>
          <cell r="F22">
            <v>225</v>
          </cell>
        </row>
        <row r="23">
          <cell r="A23">
            <v>199.98</v>
          </cell>
          <cell r="B23">
            <v>200</v>
          </cell>
          <cell r="C23" t="str">
            <v>4/0</v>
          </cell>
          <cell r="D23">
            <v>195</v>
          </cell>
          <cell r="E23">
            <v>230</v>
          </cell>
          <cell r="F23">
            <v>260</v>
          </cell>
        </row>
        <row r="24">
          <cell r="A24">
            <v>229.977</v>
          </cell>
          <cell r="B24">
            <v>230</v>
          </cell>
          <cell r="C24">
            <v>250</v>
          </cell>
          <cell r="D24">
            <v>215</v>
          </cell>
          <cell r="E24">
            <v>255</v>
          </cell>
          <cell r="F24">
            <v>290</v>
          </cell>
        </row>
        <row r="25">
          <cell r="A25">
            <v>254.97450000000001</v>
          </cell>
          <cell r="B25">
            <v>255</v>
          </cell>
          <cell r="C25">
            <v>300</v>
          </cell>
          <cell r="D25">
            <v>240</v>
          </cell>
          <cell r="E25">
            <v>285</v>
          </cell>
          <cell r="F25">
            <v>320</v>
          </cell>
        </row>
        <row r="26">
          <cell r="A26">
            <v>284.97149999999999</v>
          </cell>
          <cell r="B26">
            <v>285</v>
          </cell>
          <cell r="C26">
            <v>350</v>
          </cell>
          <cell r="D26">
            <v>260</v>
          </cell>
          <cell r="E26">
            <v>310</v>
          </cell>
          <cell r="F26">
            <v>350</v>
          </cell>
        </row>
        <row r="27">
          <cell r="A27">
            <v>309.96899999999999</v>
          </cell>
          <cell r="B27">
            <v>310</v>
          </cell>
          <cell r="C27">
            <v>400</v>
          </cell>
          <cell r="D27">
            <v>280</v>
          </cell>
          <cell r="E27">
            <v>335</v>
          </cell>
          <cell r="F27">
            <v>380</v>
          </cell>
        </row>
        <row r="28">
          <cell r="A28">
            <v>334.9665</v>
          </cell>
          <cell r="B28">
            <v>335</v>
          </cell>
          <cell r="C28">
            <v>500</v>
          </cell>
          <cell r="D28">
            <v>320</v>
          </cell>
          <cell r="E28">
            <v>380</v>
          </cell>
          <cell r="F28">
            <v>430</v>
          </cell>
        </row>
        <row r="29">
          <cell r="A29">
            <v>379.96199999999999</v>
          </cell>
          <cell r="B29">
            <v>380</v>
          </cell>
          <cell r="C29">
            <v>600</v>
          </cell>
          <cell r="D29">
            <v>355</v>
          </cell>
          <cell r="E29">
            <v>420</v>
          </cell>
          <cell r="F29">
            <v>475</v>
          </cell>
        </row>
        <row r="30">
          <cell r="A30">
            <v>419.95800000000003</v>
          </cell>
          <cell r="B30">
            <v>420</v>
          </cell>
          <cell r="C30">
            <v>750</v>
          </cell>
          <cell r="D30">
            <v>400</v>
          </cell>
          <cell r="E30">
            <v>475</v>
          </cell>
          <cell r="F30">
            <v>535</v>
          </cell>
        </row>
        <row r="31">
          <cell r="A31">
            <v>474.95249999999999</v>
          </cell>
          <cell r="B31">
            <v>475</v>
          </cell>
          <cell r="C31">
            <v>1000</v>
          </cell>
          <cell r="D31">
            <v>455</v>
          </cell>
          <cell r="E31">
            <v>545</v>
          </cell>
          <cell r="F31">
            <v>615</v>
          </cell>
        </row>
        <row r="90">
          <cell r="B90" t="str">
            <v>ITM-IL</v>
          </cell>
          <cell r="J90" t="str">
            <v>ITM-SQ</v>
          </cell>
        </row>
        <row r="91">
          <cell r="B91" t="str">
            <v>square'd I- Line</v>
          </cell>
          <cell r="J91" t="str">
            <v>square'd I- Line</v>
          </cell>
        </row>
        <row r="92">
          <cell r="B92">
            <v>0.999</v>
          </cell>
          <cell r="C92" t="str">
            <v>ITM nom</v>
          </cell>
          <cell r="D92" t="str">
            <v>CATALOGO</v>
          </cell>
          <cell r="E92" t="str">
            <v>Cable de tierra</v>
          </cell>
          <cell r="F92" t="str">
            <v>MARCO</v>
          </cell>
          <cell r="G92" t="str">
            <v>Cap. Int.</v>
          </cell>
          <cell r="J92">
            <v>0.999</v>
          </cell>
          <cell r="K92" t="str">
            <v>ITM nom</v>
          </cell>
          <cell r="L92" t="str">
            <v>CATALOGO</v>
          </cell>
          <cell r="M92" t="str">
            <v>Cable de tierra</v>
          </cell>
          <cell r="N92" t="str">
            <v>MARCO</v>
          </cell>
          <cell r="O92" t="str">
            <v>Cap. Int.</v>
          </cell>
        </row>
        <row r="93">
          <cell r="B93">
            <v>0</v>
          </cell>
          <cell r="C93">
            <v>1E-3</v>
          </cell>
          <cell r="D93" t="str">
            <v>FA360</v>
          </cell>
          <cell r="E93">
            <v>14</v>
          </cell>
          <cell r="F93" t="str">
            <v>FA</v>
          </cell>
          <cell r="G93">
            <v>18</v>
          </cell>
          <cell r="J93">
            <v>0</v>
          </cell>
          <cell r="K93">
            <v>0.1</v>
          </cell>
          <cell r="L93" t="str">
            <v>QO</v>
          </cell>
          <cell r="M93">
            <v>14</v>
          </cell>
          <cell r="N93" t="str">
            <v>QO</v>
          </cell>
          <cell r="O93">
            <v>10</v>
          </cell>
        </row>
        <row r="94">
          <cell r="B94">
            <v>9.990000000000001E-4</v>
          </cell>
          <cell r="C94">
            <v>20</v>
          </cell>
          <cell r="D94" t="str">
            <v>FA360</v>
          </cell>
          <cell r="E94">
            <v>14</v>
          </cell>
          <cell r="F94" t="str">
            <v>FA</v>
          </cell>
          <cell r="G94">
            <v>18</v>
          </cell>
          <cell r="J94">
            <v>9.9900000000000003E-2</v>
          </cell>
          <cell r="K94">
            <v>20</v>
          </cell>
          <cell r="L94" t="str">
            <v>QO</v>
          </cell>
          <cell r="M94">
            <v>14</v>
          </cell>
          <cell r="N94" t="str">
            <v>QO</v>
          </cell>
          <cell r="O94">
            <v>10</v>
          </cell>
        </row>
        <row r="95">
          <cell r="B95">
            <v>19.98</v>
          </cell>
          <cell r="C95">
            <v>20</v>
          </cell>
          <cell r="D95" t="str">
            <v>FA360</v>
          </cell>
          <cell r="E95">
            <v>12</v>
          </cell>
          <cell r="F95" t="str">
            <v>FA</v>
          </cell>
          <cell r="G95">
            <v>18</v>
          </cell>
          <cell r="J95">
            <v>19.98</v>
          </cell>
          <cell r="K95">
            <v>20</v>
          </cell>
          <cell r="L95" t="str">
            <v>QO</v>
          </cell>
          <cell r="M95">
            <v>12</v>
          </cell>
          <cell r="N95" t="str">
            <v>QO</v>
          </cell>
          <cell r="O95">
            <v>10</v>
          </cell>
        </row>
        <row r="96">
          <cell r="B96">
            <v>19.98</v>
          </cell>
          <cell r="C96">
            <v>30</v>
          </cell>
          <cell r="D96" t="str">
            <v>FA360</v>
          </cell>
          <cell r="E96">
            <v>12</v>
          </cell>
          <cell r="F96" t="str">
            <v>FA</v>
          </cell>
          <cell r="G96">
            <v>18</v>
          </cell>
          <cell r="J96">
            <v>19.98</v>
          </cell>
          <cell r="K96">
            <v>30</v>
          </cell>
          <cell r="L96" t="str">
            <v>QO</v>
          </cell>
          <cell r="M96">
            <v>10</v>
          </cell>
          <cell r="N96" t="str">
            <v>QO</v>
          </cell>
          <cell r="O96">
            <v>10</v>
          </cell>
        </row>
        <row r="97">
          <cell r="B97">
            <v>29.97</v>
          </cell>
          <cell r="C97">
            <v>40</v>
          </cell>
          <cell r="D97" t="str">
            <v>FA360</v>
          </cell>
          <cell r="E97">
            <v>12</v>
          </cell>
          <cell r="F97" t="str">
            <v>FA</v>
          </cell>
          <cell r="G97">
            <v>18</v>
          </cell>
          <cell r="J97">
            <v>29.97</v>
          </cell>
          <cell r="K97">
            <v>40</v>
          </cell>
          <cell r="L97" t="str">
            <v>QO</v>
          </cell>
          <cell r="M97">
            <v>10</v>
          </cell>
          <cell r="N97" t="str">
            <v>QO</v>
          </cell>
          <cell r="O97">
            <v>10</v>
          </cell>
        </row>
        <row r="98">
          <cell r="B98">
            <v>39.96</v>
          </cell>
          <cell r="C98">
            <v>50</v>
          </cell>
          <cell r="D98" t="str">
            <v>FA360</v>
          </cell>
          <cell r="E98">
            <v>10</v>
          </cell>
          <cell r="F98" t="str">
            <v>FA</v>
          </cell>
          <cell r="G98">
            <v>18</v>
          </cell>
          <cell r="J98">
            <v>39.96</v>
          </cell>
          <cell r="K98">
            <v>50</v>
          </cell>
          <cell r="L98" t="str">
            <v>QO</v>
          </cell>
          <cell r="M98">
            <v>10</v>
          </cell>
          <cell r="N98" t="str">
            <v>QO</v>
          </cell>
          <cell r="O98">
            <v>10</v>
          </cell>
        </row>
        <row r="99">
          <cell r="B99">
            <v>49.95</v>
          </cell>
          <cell r="C99">
            <v>70</v>
          </cell>
          <cell r="D99" t="str">
            <v>FA360</v>
          </cell>
          <cell r="E99">
            <v>10</v>
          </cell>
          <cell r="F99" t="str">
            <v>FA</v>
          </cell>
          <cell r="G99">
            <v>18</v>
          </cell>
          <cell r="J99">
            <v>49.95</v>
          </cell>
          <cell r="K99">
            <v>70</v>
          </cell>
          <cell r="L99" t="str">
            <v>QO</v>
          </cell>
          <cell r="M99">
            <v>10</v>
          </cell>
          <cell r="N99" t="str">
            <v>QO</v>
          </cell>
          <cell r="O99">
            <v>10</v>
          </cell>
        </row>
        <row r="100">
          <cell r="B100">
            <v>69.930000000000007</v>
          </cell>
          <cell r="C100">
            <v>100</v>
          </cell>
          <cell r="D100" t="str">
            <v>FA36</v>
          </cell>
          <cell r="E100">
            <v>8</v>
          </cell>
          <cell r="F100" t="str">
            <v>FA</v>
          </cell>
          <cell r="G100">
            <v>18</v>
          </cell>
          <cell r="J100">
            <v>69.930000000000007</v>
          </cell>
          <cell r="K100">
            <v>100</v>
          </cell>
          <cell r="L100" t="str">
            <v>QO</v>
          </cell>
          <cell r="M100">
            <v>8</v>
          </cell>
          <cell r="N100" t="str">
            <v>QO</v>
          </cell>
          <cell r="O100">
            <v>10</v>
          </cell>
        </row>
        <row r="101">
          <cell r="B101">
            <v>99.9</v>
          </cell>
          <cell r="C101">
            <v>125</v>
          </cell>
          <cell r="D101" t="str">
            <v>KA36</v>
          </cell>
          <cell r="E101">
            <v>6</v>
          </cell>
          <cell r="F101" t="str">
            <v>KA</v>
          </cell>
          <cell r="G101">
            <v>25</v>
          </cell>
          <cell r="J101">
            <v>99.9</v>
          </cell>
          <cell r="K101">
            <v>125</v>
          </cell>
          <cell r="L101" t="str">
            <v>QO</v>
          </cell>
          <cell r="M101">
            <v>6</v>
          </cell>
          <cell r="N101" t="str">
            <v>QO</v>
          </cell>
        </row>
        <row r="102">
          <cell r="B102">
            <v>124.875</v>
          </cell>
          <cell r="C102">
            <v>150</v>
          </cell>
          <cell r="D102" t="str">
            <v>KA36</v>
          </cell>
          <cell r="E102">
            <v>6</v>
          </cell>
          <cell r="F102" t="str">
            <v>KA</v>
          </cell>
          <cell r="G102">
            <v>25</v>
          </cell>
          <cell r="J102">
            <v>124.875</v>
          </cell>
          <cell r="K102">
            <v>150</v>
          </cell>
          <cell r="L102" t="str">
            <v>QO</v>
          </cell>
          <cell r="M102">
            <v>6</v>
          </cell>
          <cell r="N102" t="str">
            <v>QO</v>
          </cell>
        </row>
        <row r="103">
          <cell r="B103">
            <v>149.85</v>
          </cell>
          <cell r="C103">
            <v>175</v>
          </cell>
          <cell r="D103" t="str">
            <v>KA36</v>
          </cell>
          <cell r="E103">
            <v>6</v>
          </cell>
          <cell r="F103" t="str">
            <v>KA</v>
          </cell>
          <cell r="G103">
            <v>25</v>
          </cell>
          <cell r="J103">
            <v>149.85</v>
          </cell>
          <cell r="K103">
            <v>175</v>
          </cell>
          <cell r="L103" t="str">
            <v>QO</v>
          </cell>
          <cell r="M103">
            <v>6</v>
          </cell>
          <cell r="N103" t="str">
            <v>QO</v>
          </cell>
        </row>
        <row r="104">
          <cell r="B104">
            <v>174.82499999999999</v>
          </cell>
          <cell r="C104">
            <v>200</v>
          </cell>
          <cell r="D104" t="str">
            <v>KA36</v>
          </cell>
          <cell r="E104">
            <v>6</v>
          </cell>
          <cell r="F104" t="str">
            <v>KA</v>
          </cell>
          <cell r="G104">
            <v>25</v>
          </cell>
          <cell r="J104">
            <v>174.82499999999999</v>
          </cell>
          <cell r="K104">
            <v>200</v>
          </cell>
          <cell r="L104" t="str">
            <v>QO</v>
          </cell>
          <cell r="M104">
            <v>6</v>
          </cell>
          <cell r="N104" t="str">
            <v>QO</v>
          </cell>
        </row>
        <row r="105">
          <cell r="B105">
            <v>199.8</v>
          </cell>
          <cell r="C105">
            <v>225</v>
          </cell>
          <cell r="D105" t="str">
            <v>KA36</v>
          </cell>
          <cell r="E105">
            <v>4</v>
          </cell>
          <cell r="F105" t="str">
            <v>KA</v>
          </cell>
          <cell r="G105">
            <v>25</v>
          </cell>
          <cell r="J105">
            <v>199.8</v>
          </cell>
          <cell r="K105">
            <v>225</v>
          </cell>
          <cell r="L105" t="str">
            <v>QO</v>
          </cell>
          <cell r="M105">
            <v>4</v>
          </cell>
          <cell r="N105" t="str">
            <v>QO</v>
          </cell>
        </row>
        <row r="106">
          <cell r="B106">
            <v>224.77500000000001</v>
          </cell>
          <cell r="C106">
            <v>250</v>
          </cell>
          <cell r="D106" t="str">
            <v>KA36</v>
          </cell>
          <cell r="E106">
            <v>4</v>
          </cell>
          <cell r="F106" t="str">
            <v>KA</v>
          </cell>
          <cell r="G106">
            <v>25</v>
          </cell>
          <cell r="J106">
            <v>224.77500000000001</v>
          </cell>
          <cell r="K106">
            <v>250</v>
          </cell>
          <cell r="L106" t="str">
            <v>QO</v>
          </cell>
          <cell r="M106">
            <v>4</v>
          </cell>
          <cell r="N106" t="str">
            <v>QO</v>
          </cell>
        </row>
        <row r="107">
          <cell r="B107">
            <v>249.75</v>
          </cell>
          <cell r="C107">
            <v>300</v>
          </cell>
          <cell r="D107" t="str">
            <v>LA36</v>
          </cell>
          <cell r="E107">
            <v>4</v>
          </cell>
          <cell r="F107" t="str">
            <v>LA</v>
          </cell>
          <cell r="G107">
            <v>30</v>
          </cell>
          <cell r="J107">
            <v>249.75</v>
          </cell>
          <cell r="K107">
            <v>300</v>
          </cell>
          <cell r="L107" t="str">
            <v>QO</v>
          </cell>
          <cell r="M107">
            <v>4</v>
          </cell>
          <cell r="N107" t="str">
            <v>QO</v>
          </cell>
        </row>
        <row r="108">
          <cell r="B108">
            <v>299.7</v>
          </cell>
          <cell r="C108">
            <v>350</v>
          </cell>
          <cell r="D108" t="str">
            <v>LA36</v>
          </cell>
          <cell r="E108">
            <v>2</v>
          </cell>
          <cell r="F108" t="str">
            <v>LA</v>
          </cell>
          <cell r="G108">
            <v>30</v>
          </cell>
          <cell r="J108">
            <v>299.7</v>
          </cell>
          <cell r="K108">
            <v>350</v>
          </cell>
          <cell r="L108" t="str">
            <v>QO</v>
          </cell>
          <cell r="M108">
            <v>2</v>
          </cell>
          <cell r="N108" t="str">
            <v>QO</v>
          </cell>
        </row>
        <row r="109">
          <cell r="B109">
            <v>349.65</v>
          </cell>
          <cell r="C109">
            <v>400</v>
          </cell>
          <cell r="D109" t="str">
            <v>LA36</v>
          </cell>
          <cell r="E109">
            <v>2</v>
          </cell>
          <cell r="F109" t="str">
            <v>LA</v>
          </cell>
          <cell r="G109">
            <v>30</v>
          </cell>
          <cell r="J109">
            <v>349.65</v>
          </cell>
          <cell r="K109">
            <v>400</v>
          </cell>
          <cell r="L109" t="str">
            <v>QO</v>
          </cell>
          <cell r="M109">
            <v>2</v>
          </cell>
          <cell r="N109" t="str">
            <v>QO</v>
          </cell>
        </row>
        <row r="110">
          <cell r="B110">
            <v>399.6</v>
          </cell>
          <cell r="C110">
            <v>500</v>
          </cell>
          <cell r="D110" t="str">
            <v>MA36</v>
          </cell>
          <cell r="E110">
            <v>2</v>
          </cell>
          <cell r="F110" t="str">
            <v>MA</v>
          </cell>
          <cell r="G110">
            <v>30</v>
          </cell>
          <cell r="J110">
            <v>399.6</v>
          </cell>
          <cell r="K110">
            <v>500</v>
          </cell>
          <cell r="L110" t="str">
            <v>QO</v>
          </cell>
          <cell r="M110">
            <v>2</v>
          </cell>
          <cell r="N110" t="str">
            <v>QO</v>
          </cell>
        </row>
        <row r="111">
          <cell r="B111">
            <v>499.5</v>
          </cell>
          <cell r="C111">
            <v>600</v>
          </cell>
          <cell r="D111" t="str">
            <v>MA36</v>
          </cell>
          <cell r="E111" t="str">
            <v>1/0</v>
          </cell>
          <cell r="F111" t="str">
            <v>MA</v>
          </cell>
          <cell r="G111">
            <v>30</v>
          </cell>
          <cell r="J111">
            <v>499.5</v>
          </cell>
          <cell r="K111">
            <v>600</v>
          </cell>
          <cell r="L111" t="str">
            <v>QO</v>
          </cell>
          <cell r="M111" t="str">
            <v>1/0</v>
          </cell>
          <cell r="N111" t="str">
            <v>QO</v>
          </cell>
        </row>
        <row r="112">
          <cell r="B112">
            <v>599.4</v>
          </cell>
          <cell r="C112">
            <v>700</v>
          </cell>
          <cell r="D112" t="str">
            <v>MA36</v>
          </cell>
          <cell r="E112" t="str">
            <v>1/0</v>
          </cell>
          <cell r="F112" t="str">
            <v>MA</v>
          </cell>
          <cell r="G112">
            <v>30</v>
          </cell>
          <cell r="J112">
            <v>599.4</v>
          </cell>
          <cell r="K112">
            <v>700</v>
          </cell>
          <cell r="L112" t="str">
            <v>QO</v>
          </cell>
          <cell r="M112" t="str">
            <v>1/0</v>
          </cell>
          <cell r="N112" t="str">
            <v>QO</v>
          </cell>
        </row>
        <row r="113">
          <cell r="B113">
            <v>699.3</v>
          </cell>
          <cell r="C113">
            <v>800</v>
          </cell>
          <cell r="D113" t="str">
            <v>MA36</v>
          </cell>
          <cell r="E113" t="str">
            <v>1/0</v>
          </cell>
          <cell r="F113" t="str">
            <v>MA</v>
          </cell>
          <cell r="G113">
            <v>30</v>
          </cell>
          <cell r="J113">
            <v>699.3</v>
          </cell>
          <cell r="K113">
            <v>800</v>
          </cell>
          <cell r="L113" t="str">
            <v>QO</v>
          </cell>
          <cell r="M113" t="str">
            <v>1/0</v>
          </cell>
          <cell r="N113" t="str">
            <v>QO</v>
          </cell>
        </row>
        <row r="114">
          <cell r="B114">
            <v>799.2</v>
          </cell>
          <cell r="C114">
            <v>900</v>
          </cell>
          <cell r="D114" t="str">
            <v>NA36</v>
          </cell>
          <cell r="E114" t="str">
            <v>2/0</v>
          </cell>
          <cell r="F114" t="str">
            <v>NA</v>
          </cell>
          <cell r="G114">
            <v>50</v>
          </cell>
          <cell r="J114">
            <v>799.2</v>
          </cell>
          <cell r="K114">
            <v>900</v>
          </cell>
          <cell r="L114" t="str">
            <v>QO</v>
          </cell>
          <cell r="M114" t="str">
            <v>2/0</v>
          </cell>
          <cell r="N114" t="str">
            <v>QO</v>
          </cell>
        </row>
        <row r="115">
          <cell r="B115">
            <v>899.1</v>
          </cell>
          <cell r="C115">
            <v>1000</v>
          </cell>
          <cell r="D115" t="str">
            <v>NA36</v>
          </cell>
          <cell r="E115" t="str">
            <v>2/0</v>
          </cell>
          <cell r="F115" t="str">
            <v>NA</v>
          </cell>
          <cell r="G115">
            <v>50</v>
          </cell>
          <cell r="J115">
            <v>899.1</v>
          </cell>
          <cell r="K115">
            <v>1000</v>
          </cell>
          <cell r="L115" t="str">
            <v>QO</v>
          </cell>
          <cell r="M115" t="str">
            <v>2/0</v>
          </cell>
          <cell r="N115" t="str">
            <v>QO</v>
          </cell>
        </row>
        <row r="116">
          <cell r="B116">
            <v>999</v>
          </cell>
          <cell r="C116">
            <v>1200</v>
          </cell>
          <cell r="D116" t="str">
            <v>NA36</v>
          </cell>
          <cell r="E116" t="str">
            <v>3/0</v>
          </cell>
          <cell r="F116" t="str">
            <v>NA</v>
          </cell>
          <cell r="G116">
            <v>50</v>
          </cell>
          <cell r="J116">
            <v>999</v>
          </cell>
          <cell r="K116">
            <v>1200</v>
          </cell>
          <cell r="L116" t="str">
            <v>QO</v>
          </cell>
          <cell r="M116" t="str">
            <v>3/0</v>
          </cell>
          <cell r="N116" t="str">
            <v>QO</v>
          </cell>
        </row>
        <row r="117">
          <cell r="B117">
            <v>1198.8</v>
          </cell>
          <cell r="C117">
            <v>1600</v>
          </cell>
          <cell r="D117" t="str">
            <v>NA36</v>
          </cell>
          <cell r="E117" t="str">
            <v>4/0</v>
          </cell>
          <cell r="F117" t="str">
            <v>NA</v>
          </cell>
          <cell r="G117">
            <v>50</v>
          </cell>
          <cell r="J117">
            <v>1198.8</v>
          </cell>
          <cell r="K117">
            <v>1600</v>
          </cell>
          <cell r="M117" t="str">
            <v>4/0</v>
          </cell>
        </row>
        <row r="118">
          <cell r="B118">
            <v>1598.4</v>
          </cell>
          <cell r="C118">
            <v>2000</v>
          </cell>
          <cell r="D118" t="str">
            <v>NA36</v>
          </cell>
          <cell r="E118">
            <v>250</v>
          </cell>
          <cell r="F118" t="str">
            <v>NA</v>
          </cell>
          <cell r="J118">
            <v>1598.4</v>
          </cell>
          <cell r="K118">
            <v>2000</v>
          </cell>
          <cell r="M118">
            <v>250</v>
          </cell>
        </row>
        <row r="119">
          <cell r="B119">
            <v>1998</v>
          </cell>
          <cell r="C119">
            <v>2500</v>
          </cell>
          <cell r="D119" t="str">
            <v>NA36</v>
          </cell>
          <cell r="E119">
            <v>350</v>
          </cell>
          <cell r="F119" t="str">
            <v>NA</v>
          </cell>
          <cell r="J119">
            <v>1998</v>
          </cell>
          <cell r="K119">
            <v>2500</v>
          </cell>
          <cell r="M119">
            <v>350</v>
          </cell>
        </row>
        <row r="120">
          <cell r="B120">
            <v>2497.5</v>
          </cell>
          <cell r="C120">
            <v>3000</v>
          </cell>
          <cell r="D120" t="str">
            <v>NA36</v>
          </cell>
          <cell r="E120">
            <v>400</v>
          </cell>
          <cell r="F120" t="str">
            <v>NA</v>
          </cell>
          <cell r="J120">
            <v>2497.5</v>
          </cell>
          <cell r="K120">
            <v>3000</v>
          </cell>
          <cell r="M120">
            <v>400</v>
          </cell>
        </row>
        <row r="121">
          <cell r="B121">
            <v>2997</v>
          </cell>
          <cell r="C121">
            <v>4000</v>
          </cell>
          <cell r="D121" t="str">
            <v>NA36</v>
          </cell>
          <cell r="E121">
            <v>500</v>
          </cell>
          <cell r="F121" t="str">
            <v>NA</v>
          </cell>
          <cell r="J121">
            <v>2997</v>
          </cell>
          <cell r="K121">
            <v>4000</v>
          </cell>
          <cell r="M121">
            <v>500</v>
          </cell>
        </row>
        <row r="122">
          <cell r="B122">
            <v>3996</v>
          </cell>
          <cell r="C122">
            <v>5000</v>
          </cell>
          <cell r="D122" t="str">
            <v>NA36</v>
          </cell>
          <cell r="E122">
            <v>700</v>
          </cell>
          <cell r="F122" t="str">
            <v>NA</v>
          </cell>
          <cell r="J122">
            <v>3996</v>
          </cell>
          <cell r="K122">
            <v>5000</v>
          </cell>
          <cell r="M122">
            <v>700</v>
          </cell>
        </row>
        <row r="123">
          <cell r="B123">
            <v>4995</v>
          </cell>
          <cell r="C123">
            <v>6000</v>
          </cell>
          <cell r="D123" t="str">
            <v>NA36</v>
          </cell>
          <cell r="E123">
            <v>800</v>
          </cell>
          <cell r="F123" t="str">
            <v>NA</v>
          </cell>
          <cell r="J123">
            <v>4995</v>
          </cell>
          <cell r="K123">
            <v>6000</v>
          </cell>
          <cell r="M123">
            <v>800</v>
          </cell>
        </row>
        <row r="202">
          <cell r="F202" t="str">
            <v>DUCTO</v>
          </cell>
          <cell r="I202" t="str">
            <v>DUCTO1</v>
          </cell>
        </row>
        <row r="204">
          <cell r="F204">
            <v>1</v>
          </cell>
          <cell r="G204">
            <v>5625</v>
          </cell>
          <cell r="H204">
            <v>75</v>
          </cell>
          <cell r="I204">
            <v>1125</v>
          </cell>
        </row>
        <row r="205">
          <cell r="F205">
            <v>1125</v>
          </cell>
          <cell r="G205">
            <v>11250</v>
          </cell>
          <cell r="H205">
            <v>150</v>
          </cell>
          <cell r="I205">
            <v>2250</v>
          </cell>
        </row>
        <row r="206">
          <cell r="F206">
            <v>2250</v>
          </cell>
          <cell r="G206">
            <v>22500</v>
          </cell>
          <cell r="H206">
            <v>300</v>
          </cell>
          <cell r="I206">
            <v>4500</v>
          </cell>
        </row>
        <row r="207">
          <cell r="F207">
            <v>4500</v>
          </cell>
        </row>
        <row r="260">
          <cell r="B260" t="str">
            <v>Factor agrpamiento en Tuberia</v>
          </cell>
        </row>
        <row r="262">
          <cell r="B262">
            <v>1</v>
          </cell>
          <cell r="C262">
            <v>1</v>
          </cell>
        </row>
        <row r="263">
          <cell r="B263">
            <v>4</v>
          </cell>
          <cell r="C263">
            <v>0.8</v>
          </cell>
        </row>
        <row r="264">
          <cell r="B264">
            <v>7</v>
          </cell>
          <cell r="C264">
            <v>0.7</v>
          </cell>
        </row>
        <row r="265">
          <cell r="B265">
            <v>10</v>
          </cell>
          <cell r="C265">
            <v>0.5</v>
          </cell>
        </row>
        <row r="266">
          <cell r="B266">
            <v>21</v>
          </cell>
          <cell r="C266">
            <v>0.45</v>
          </cell>
        </row>
        <row r="267">
          <cell r="B267">
            <v>31</v>
          </cell>
          <cell r="C267">
            <v>0.4</v>
          </cell>
        </row>
        <row r="268">
          <cell r="B268">
            <v>41</v>
          </cell>
          <cell r="C268">
            <v>0.35</v>
          </cell>
        </row>
        <row r="274">
          <cell r="C274" t="str">
            <v>TEMPERATURA MAXIMA ADMISIBLE EN EL CONDUCTOR.   OPERACIÓN CONTINUA</v>
          </cell>
        </row>
        <row r="275">
          <cell r="C275" t="str">
            <v>CALIBRE AWG / KCM</v>
          </cell>
          <cell r="D275" t="str">
            <v>60°C</v>
          </cell>
          <cell r="E275" t="str">
            <v>75°C</v>
          </cell>
          <cell r="F275" t="str">
            <v>90°C</v>
          </cell>
        </row>
        <row r="276">
          <cell r="D276" t="str">
            <v>Tipos:</v>
          </cell>
          <cell r="G276" t="str">
            <v>COBRE</v>
          </cell>
        </row>
        <row r="277">
          <cell r="D277" t="str">
            <v>TW, UF</v>
          </cell>
          <cell r="E277" t="str">
            <v>RHW, THW, THHW, THW-LS, THHW-LS, THWN, XHHW, USE</v>
          </cell>
          <cell r="F277" t="str">
            <v>SA, SIS, FEP, FEPB, RHH, RHW-2, THW-2, THHW, THHW-LS, TT, THWN-2, THHN, USE-2, XHHW-2, XHHW.</v>
          </cell>
          <cell r="G277" t="str">
            <v>RESIST. ELECT. CD A 20 °C   OHM/KM              ( R )</v>
          </cell>
          <cell r="H277" t="str">
            <v>RESIST. ELECTRICA DEL CONDUCTOR     ( R )</v>
          </cell>
          <cell r="I277" t="str">
            <v>REACTANCIA INDUCTIVA DEL CONDUCTOR      ( UNA CAPA )          ( XL )</v>
          </cell>
          <cell r="J277" t="str">
            <v>REACTANCIA INDUCTIVA DEL CONDUCTOR      ( UNA CAPA UN ESPACIO )            ( XL )</v>
          </cell>
          <cell r="K277" t="str">
            <v>REACTANCIA INDUCTIVA DEL CONDUCTOR      ( TREBOL )             ( XL )</v>
          </cell>
          <cell r="L277" t="str">
            <v>RADIO MEDIO GEOMETRICO   ( UNA CAPA )</v>
          </cell>
          <cell r="M277" t="str">
            <v>DIAMETRO MEDIO GEOMETRICO   ( UNA CAPA )</v>
          </cell>
          <cell r="N277" t="str">
            <v>DIAMETRO MEDIO GEOMETRICO  (UNA CAPA UN ESPACIO )</v>
          </cell>
          <cell r="O277" t="str">
            <v>DIAMETRO MEDIO GEOMETRICO (TREBOL)</v>
          </cell>
          <cell r="P277" t="str">
            <v>IMPEDANCIA      ( UNA CAPA )       ( Z )</v>
          </cell>
          <cell r="Q277" t="str">
            <v>IMPEDANCIA       ( UNA CAPA UN ESPACIO )             ( Z )</v>
          </cell>
          <cell r="R277" t="str">
            <v>IMPEDANCIA       ( TREBOL )             ( Z )</v>
          </cell>
          <cell r="S277" t="str">
            <v>DIAMETRO DEL CABLE CON FORRO</v>
          </cell>
          <cell r="T277" t="str">
            <v>DIAMETRO DEL CONDUCTOR</v>
          </cell>
          <cell r="U277" t="str">
            <v>No. DE HILOS DEL CONDUCTOR</v>
          </cell>
          <cell r="V277" t="str">
            <v>CONSTANTE DEACUERDO AL NUMERO DE HILOS</v>
          </cell>
        </row>
        <row r="278">
          <cell r="D278" t="str">
            <v>COBRE</v>
          </cell>
          <cell r="H278">
            <v>75</v>
          </cell>
          <cell r="S278" t="str">
            <v>f mm</v>
          </cell>
          <cell r="T278" t="str">
            <v>f mm</v>
          </cell>
        </row>
        <row r="279">
          <cell r="C279">
            <v>2</v>
          </cell>
          <cell r="D279">
            <v>95</v>
          </cell>
          <cell r="E279">
            <v>115</v>
          </cell>
          <cell r="F279">
            <v>130</v>
          </cell>
          <cell r="G279">
            <v>0.52300000000000002</v>
          </cell>
          <cell r="H279">
            <v>0.63604645000000004</v>
          </cell>
          <cell r="I279">
            <v>0.11706788484171422</v>
          </cell>
          <cell r="J279">
            <v>0.13448748725746995</v>
          </cell>
          <cell r="K279">
            <v>9.9648282425958523E-2</v>
          </cell>
          <cell r="L279">
            <v>2.69346</v>
          </cell>
          <cell r="M279">
            <v>12.725202603938218</v>
          </cell>
          <cell r="N279">
            <v>16.032750624878812</v>
          </cell>
          <cell r="O279">
            <v>10.1</v>
          </cell>
          <cell r="P279">
            <v>0.64673021903952765</v>
          </cell>
          <cell r="Q279">
            <v>0.65010919912460141</v>
          </cell>
          <cell r="R279">
            <v>0.64380499124194912</v>
          </cell>
          <cell r="S279">
            <v>10.1</v>
          </cell>
          <cell r="T279">
            <v>7.42</v>
          </cell>
          <cell r="U279">
            <v>7</v>
          </cell>
          <cell r="V279">
            <v>0.72599999999999998</v>
          </cell>
        </row>
        <row r="280">
          <cell r="C280">
            <v>4</v>
          </cell>
          <cell r="D280">
            <v>70</v>
          </cell>
          <cell r="E280">
            <v>85</v>
          </cell>
          <cell r="F280">
            <v>95</v>
          </cell>
          <cell r="G280">
            <v>0.83199999999999996</v>
          </cell>
          <cell r="H280">
            <v>1.0118368</v>
          </cell>
          <cell r="I280">
            <v>0.12160303400667016</v>
          </cell>
          <cell r="J280">
            <v>0.13902263642242585</v>
          </cell>
          <cell r="K280">
            <v>0.10418343159091444</v>
          </cell>
          <cell r="L280">
            <v>2.1344400000000001</v>
          </cell>
          <cell r="M280">
            <v>10.709328924106423</v>
          </cell>
          <cell r="N280">
            <v>13.492908941729695</v>
          </cell>
          <cell r="O280">
            <v>8.5</v>
          </cell>
          <cell r="P280">
            <v>1.0191177594929191</v>
          </cell>
          <cell r="Q280">
            <v>1.0213427452486663</v>
          </cell>
          <cell r="R280">
            <v>1.0171862647776457</v>
          </cell>
          <cell r="S280">
            <v>8.5</v>
          </cell>
          <cell r="T280">
            <v>5.88</v>
          </cell>
          <cell r="U280">
            <v>7</v>
          </cell>
          <cell r="V280">
            <v>0.72599999999999998</v>
          </cell>
        </row>
        <row r="281">
          <cell r="C281">
            <v>6</v>
          </cell>
          <cell r="D281">
            <v>55</v>
          </cell>
          <cell r="E281">
            <v>65</v>
          </cell>
          <cell r="F281">
            <v>75</v>
          </cell>
          <cell r="G281">
            <v>1.32</v>
          </cell>
          <cell r="H281">
            <v>1.6053180000000002</v>
          </cell>
          <cell r="I281">
            <v>0.12119460292096602</v>
          </cell>
          <cell r="J281">
            <v>0.13861420533672172</v>
          </cell>
          <cell r="K281">
            <v>0.10377500050521031</v>
          </cell>
          <cell r="L281">
            <v>1.6915800000000001</v>
          </cell>
          <cell r="M281">
            <v>8.4414710342956507</v>
          </cell>
          <cell r="N281">
            <v>10.635587048186936</v>
          </cell>
          <cell r="O281">
            <v>6.7</v>
          </cell>
          <cell r="P281">
            <v>1.6098863353979906</v>
          </cell>
          <cell r="Q281">
            <v>1.6112913389716745</v>
          </cell>
          <cell r="R281">
            <v>1.6086687452219171</v>
          </cell>
          <cell r="S281">
            <v>6.7</v>
          </cell>
          <cell r="T281">
            <v>4.66</v>
          </cell>
          <cell r="U281">
            <v>7</v>
          </cell>
          <cell r="V281">
            <v>0.72599999999999998</v>
          </cell>
        </row>
        <row r="282">
          <cell r="C282">
            <v>8</v>
          </cell>
          <cell r="D282">
            <v>40</v>
          </cell>
          <cell r="E282">
            <v>50</v>
          </cell>
          <cell r="F282">
            <v>55</v>
          </cell>
          <cell r="G282">
            <v>2.1</v>
          </cell>
          <cell r="H282">
            <v>2.5539150000000004</v>
          </cell>
          <cell r="I282">
            <v>0.12639986795620076</v>
          </cell>
          <cell r="J282">
            <v>0.14381947037195647</v>
          </cell>
          <cell r="K282">
            <v>0.10898026554044506</v>
          </cell>
          <cell r="L282">
            <v>1.3431</v>
          </cell>
          <cell r="M282">
            <v>7.1815499844007773</v>
          </cell>
          <cell r="N282">
            <v>9.0481859962187361</v>
          </cell>
          <cell r="O282">
            <v>5.7</v>
          </cell>
          <cell r="P282">
            <v>2.5570410152839447</v>
          </cell>
          <cell r="Q282">
            <v>2.5579612716542588</v>
          </cell>
          <cell r="R282">
            <v>2.5562391369944768</v>
          </cell>
          <cell r="S282">
            <v>5.7</v>
          </cell>
          <cell r="T282">
            <v>3.7</v>
          </cell>
          <cell r="U282">
            <v>7</v>
          </cell>
          <cell r="V282">
            <v>0.72599999999999998</v>
          </cell>
        </row>
        <row r="283">
          <cell r="C283">
            <v>10</v>
          </cell>
          <cell r="D283">
            <v>30</v>
          </cell>
          <cell r="E283">
            <v>35</v>
          </cell>
          <cell r="F283">
            <v>40</v>
          </cell>
          <cell r="G283">
            <v>3.34</v>
          </cell>
          <cell r="H283">
            <v>4.061941</v>
          </cell>
          <cell r="I283">
            <v>0.12274171730462939</v>
          </cell>
          <cell r="J283">
            <v>0.14016131972038509</v>
          </cell>
          <cell r="K283">
            <v>0.10532211488887369</v>
          </cell>
          <cell r="L283">
            <v>1.06359</v>
          </cell>
          <cell r="M283">
            <v>5.4176605145479542</v>
          </cell>
          <cell r="N283">
            <v>6.8258245234632566</v>
          </cell>
          <cell r="O283">
            <v>4.3</v>
          </cell>
          <cell r="P283">
            <v>4.0637950510142478</v>
          </cell>
          <cell r="Q283">
            <v>4.0643584835772995</v>
          </cell>
          <cell r="R283">
            <v>4.0633062197385108</v>
          </cell>
          <cell r="S283">
            <v>4.3</v>
          </cell>
          <cell r="T283">
            <v>2.93</v>
          </cell>
          <cell r="U283">
            <v>7</v>
          </cell>
          <cell r="V283">
            <v>0.72599999999999998</v>
          </cell>
        </row>
        <row r="284">
          <cell r="C284">
            <v>12</v>
          </cell>
          <cell r="D284">
            <v>25</v>
          </cell>
          <cell r="E284">
            <v>25</v>
          </cell>
          <cell r="F284">
            <v>30</v>
          </cell>
          <cell r="G284">
            <v>5.32</v>
          </cell>
          <cell r="H284">
            <v>6.4699180000000007</v>
          </cell>
          <cell r="I284">
            <v>0.12263583813096191</v>
          </cell>
          <cell r="J284">
            <v>0.14005544054671759</v>
          </cell>
          <cell r="K284">
            <v>0.10521623571520618</v>
          </cell>
          <cell r="L284">
            <v>0.84215999999999991</v>
          </cell>
          <cell r="M284">
            <v>4.2837315696425691</v>
          </cell>
          <cell r="N284">
            <v>5.3971635766918773</v>
          </cell>
          <cell r="O284">
            <v>3.4</v>
          </cell>
          <cell r="P284">
            <v>6.4710801629649204</v>
          </cell>
          <cell r="Q284">
            <v>6.4714337246973903</v>
          </cell>
          <cell r="R284">
            <v>6.4707734764077536</v>
          </cell>
          <cell r="S284">
            <v>3.4</v>
          </cell>
          <cell r="T284">
            <v>2.3199999999999998</v>
          </cell>
          <cell r="U284">
            <v>7</v>
          </cell>
          <cell r="V284">
            <v>0.72599999999999998</v>
          </cell>
        </row>
        <row r="285">
          <cell r="C285">
            <v>14</v>
          </cell>
          <cell r="D285">
            <v>20</v>
          </cell>
          <cell r="E285">
            <v>20</v>
          </cell>
          <cell r="F285">
            <v>25</v>
          </cell>
          <cell r="G285">
            <v>8.4</v>
          </cell>
          <cell r="H285">
            <v>10.215660000000002</v>
          </cell>
          <cell r="I285">
            <v>0.12811973067028984</v>
          </cell>
          <cell r="J285">
            <v>0.14553933308604555</v>
          </cell>
          <cell r="K285">
            <v>0.11070012825453411</v>
          </cell>
          <cell r="L285">
            <v>0.66791999999999996</v>
          </cell>
          <cell r="M285">
            <v>3.6537710446951319</v>
          </cell>
          <cell r="N285">
            <v>4.6034630507077781</v>
          </cell>
          <cell r="O285">
            <v>2.9</v>
          </cell>
          <cell r="P285">
            <v>10.216463375404771</v>
          </cell>
          <cell r="Q285">
            <v>10.216696674222797</v>
          </cell>
          <cell r="R285">
            <v>10.216259773224035</v>
          </cell>
          <cell r="S285">
            <v>2.9</v>
          </cell>
          <cell r="T285">
            <v>1.84</v>
          </cell>
          <cell r="U285">
            <v>7</v>
          </cell>
          <cell r="V285">
            <v>0.72599999999999998</v>
          </cell>
        </row>
        <row r="286">
          <cell r="C286">
            <v>14</v>
          </cell>
          <cell r="E286">
            <v>20</v>
          </cell>
          <cell r="F286">
            <v>18</v>
          </cell>
          <cell r="G286">
            <v>8.4</v>
          </cell>
          <cell r="H286">
            <v>10.215660000000002</v>
          </cell>
          <cell r="I286">
            <v>0.12811973067028984</v>
          </cell>
          <cell r="J286">
            <v>0.14553933308604555</v>
          </cell>
          <cell r="K286">
            <v>0.11070012825453411</v>
          </cell>
          <cell r="L286">
            <v>0.66791999999999996</v>
          </cell>
          <cell r="M286">
            <v>3.6537710446951319</v>
          </cell>
          <cell r="N286">
            <v>4.6034630507077781</v>
          </cell>
          <cell r="O286">
            <v>2.9</v>
          </cell>
          <cell r="P286">
            <v>10.216463375404771</v>
          </cell>
          <cell r="Q286">
            <v>10.216696674222797</v>
          </cell>
          <cell r="R286">
            <v>10.216259773224035</v>
          </cell>
          <cell r="S286">
            <v>2.9</v>
          </cell>
          <cell r="T286">
            <v>1.84</v>
          </cell>
          <cell r="U286">
            <v>7</v>
          </cell>
          <cell r="V286">
            <v>0.72599999999999998</v>
          </cell>
        </row>
        <row r="287">
          <cell r="C287">
            <v>14</v>
          </cell>
          <cell r="E287">
            <v>20</v>
          </cell>
          <cell r="F287">
            <v>14</v>
          </cell>
          <cell r="G287">
            <v>8.4</v>
          </cell>
          <cell r="H287">
            <v>10.215660000000002</v>
          </cell>
          <cell r="I287">
            <v>0.12811973067028984</v>
          </cell>
          <cell r="J287">
            <v>0.14553933308604555</v>
          </cell>
          <cell r="K287">
            <v>0.11070012825453411</v>
          </cell>
          <cell r="L287">
            <v>0.66791999999999996</v>
          </cell>
          <cell r="M287">
            <v>3.6537710446951319</v>
          </cell>
          <cell r="N287">
            <v>4.6034630507077781</v>
          </cell>
          <cell r="O287">
            <v>2.9</v>
          </cell>
          <cell r="P287">
            <v>10.216463375404771</v>
          </cell>
          <cell r="Q287">
            <v>10.216696674222797</v>
          </cell>
          <cell r="R287">
            <v>10.216259773224035</v>
          </cell>
          <cell r="S287">
            <v>2.9</v>
          </cell>
          <cell r="T287">
            <v>1.84</v>
          </cell>
          <cell r="U287">
            <v>7</v>
          </cell>
          <cell r="V287">
            <v>0.72599999999999998</v>
          </cell>
        </row>
        <row r="288">
          <cell r="C288">
            <v>250</v>
          </cell>
          <cell r="D288">
            <v>215</v>
          </cell>
          <cell r="E288">
            <v>255</v>
          </cell>
          <cell r="F288">
            <v>290</v>
          </cell>
          <cell r="G288">
            <v>0.13900000000000001</v>
          </cell>
          <cell r="H288">
            <v>0.16904485000000002</v>
          </cell>
          <cell r="I288">
            <v>0.10732585002916387</v>
          </cell>
          <cell r="J288">
            <v>0.12474545244491955</v>
          </cell>
          <cell r="K288">
            <v>8.9906247613408138E-2</v>
          </cell>
          <cell r="L288">
            <v>5.6140799999999995</v>
          </cell>
          <cell r="M288">
            <v>23.308539423055155</v>
          </cell>
          <cell r="N288">
            <v>29.366919461411687</v>
          </cell>
          <cell r="O288">
            <v>18.5</v>
          </cell>
          <cell r="P288">
            <v>0.20023735764338552</v>
          </cell>
          <cell r="Q288">
            <v>0.21008947907310874</v>
          </cell>
          <cell r="R288">
            <v>0.19146617108890532</v>
          </cell>
          <cell r="S288">
            <v>18.5</v>
          </cell>
          <cell r="T288">
            <v>14.62</v>
          </cell>
          <cell r="U288">
            <v>37</v>
          </cell>
          <cell r="V288">
            <v>0.76800000000000002</v>
          </cell>
        </row>
        <row r="289">
          <cell r="C289">
            <v>300</v>
          </cell>
          <cell r="D289">
            <v>240</v>
          </cell>
          <cell r="E289">
            <v>285</v>
          </cell>
          <cell r="F289">
            <v>320</v>
          </cell>
          <cell r="G289">
            <v>0.11600000000000001</v>
          </cell>
          <cell r="H289">
            <v>0.14107340000000002</v>
          </cell>
          <cell r="I289">
            <v>0.1060253669412089</v>
          </cell>
          <cell r="J289">
            <v>0.12344496935696458</v>
          </cell>
          <cell r="K289">
            <v>8.8605764525453198E-2</v>
          </cell>
          <cell r="L289">
            <v>6.1440000000000001</v>
          </cell>
          <cell r="M289">
            <v>25.072428892907975</v>
          </cell>
          <cell r="N289">
            <v>31.589280934167164</v>
          </cell>
          <cell r="O289">
            <v>19.899999999999999</v>
          </cell>
          <cell r="P289">
            <v>0.17647402818142391</v>
          </cell>
          <cell r="Q289">
            <v>0.18745763427265888</v>
          </cell>
          <cell r="R289">
            <v>0.16659137341021013</v>
          </cell>
          <cell r="S289">
            <v>19.899999999999999</v>
          </cell>
          <cell r="T289">
            <v>16</v>
          </cell>
          <cell r="U289">
            <v>37</v>
          </cell>
          <cell r="V289">
            <v>0.76800000000000002</v>
          </cell>
        </row>
        <row r="290">
          <cell r="C290">
            <v>350</v>
          </cell>
          <cell r="D290">
            <v>260</v>
          </cell>
          <cell r="E290">
            <v>310</v>
          </cell>
          <cell r="F290">
            <v>350</v>
          </cell>
          <cell r="G290">
            <v>9.9199999999999997E-2</v>
          </cell>
          <cell r="H290">
            <v>0.12064208</v>
          </cell>
          <cell r="I290">
            <v>0.10526159751935836</v>
          </cell>
          <cell r="J290">
            <v>0.12268119993511405</v>
          </cell>
          <cell r="K290">
            <v>8.7841995103602646E-2</v>
          </cell>
          <cell r="L290">
            <v>6.6432000000000002</v>
          </cell>
          <cell r="M290">
            <v>26.8363183627608</v>
          </cell>
          <cell r="N290">
            <v>33.811642406922644</v>
          </cell>
          <cell r="O290">
            <v>21.3</v>
          </cell>
          <cell r="P290">
            <v>0.16010782422809258</v>
          </cell>
          <cell r="Q290">
            <v>0.17206158282500433</v>
          </cell>
          <cell r="R290">
            <v>0.14923380170225428</v>
          </cell>
          <cell r="S290">
            <v>21.3</v>
          </cell>
          <cell r="T290">
            <v>17.3</v>
          </cell>
          <cell r="U290">
            <v>37</v>
          </cell>
          <cell r="V290">
            <v>0.76800000000000002</v>
          </cell>
        </row>
        <row r="291">
          <cell r="C291">
            <v>400</v>
          </cell>
          <cell r="D291">
            <v>280</v>
          </cell>
          <cell r="E291">
            <v>335</v>
          </cell>
          <cell r="F291">
            <v>380</v>
          </cell>
          <cell r="G291">
            <v>8.6800000000000002E-2</v>
          </cell>
          <cell r="H291">
            <v>0.10556182000000001</v>
          </cell>
          <cell r="I291">
            <v>0.10437833923245245</v>
          </cell>
          <cell r="J291">
            <v>0.12179794164820817</v>
          </cell>
          <cell r="K291">
            <v>8.6958736816696747E-2</v>
          </cell>
          <cell r="L291">
            <v>7.1001599999999998</v>
          </cell>
          <cell r="M291">
            <v>28.348223622634645</v>
          </cell>
          <cell r="N291">
            <v>35.716523669284484</v>
          </cell>
          <cell r="O291">
            <v>22.5</v>
          </cell>
          <cell r="P291">
            <v>0.14845246896780573</v>
          </cell>
          <cell r="Q291">
            <v>0.16117703444179857</v>
          </cell>
          <cell r="R291">
            <v>0.13676666169234347</v>
          </cell>
          <cell r="S291">
            <v>22.5</v>
          </cell>
          <cell r="T291">
            <v>18.489999999999998</v>
          </cell>
          <cell r="U291">
            <v>37</v>
          </cell>
          <cell r="V291">
            <v>0.76800000000000002</v>
          </cell>
        </row>
        <row r="292">
          <cell r="C292">
            <v>500</v>
          </cell>
          <cell r="D292">
            <v>320</v>
          </cell>
          <cell r="E292">
            <v>380</v>
          </cell>
          <cell r="F292">
            <v>430</v>
          </cell>
          <cell r="G292">
            <v>6.9400000000000003E-2</v>
          </cell>
          <cell r="H292">
            <v>8.4400810000000007E-2</v>
          </cell>
          <cell r="I292">
            <v>0.10304526988835708</v>
          </cell>
          <cell r="J292">
            <v>0.12046487230411278</v>
          </cell>
          <cell r="K292">
            <v>8.5625667472601349E-2</v>
          </cell>
          <cell r="L292">
            <v>7.93344</v>
          </cell>
          <cell r="M292">
            <v>31.120049932403369</v>
          </cell>
          <cell r="N292">
            <v>39.208805983614525</v>
          </cell>
          <cell r="O292">
            <v>24.7</v>
          </cell>
          <cell r="P292">
            <v>0.1331984398370358</v>
          </cell>
          <cell r="Q292">
            <v>0.14708936803148723</v>
          </cell>
          <cell r="R292">
            <v>0.12022999483816259</v>
          </cell>
          <cell r="S292">
            <v>24.7</v>
          </cell>
          <cell r="T292">
            <v>20.66</v>
          </cell>
          <cell r="U292">
            <v>37</v>
          </cell>
          <cell r="V292">
            <v>0.76800000000000002</v>
          </cell>
        </row>
        <row r="293">
          <cell r="C293">
            <v>600</v>
          </cell>
          <cell r="D293">
            <v>355</v>
          </cell>
          <cell r="E293">
            <v>420</v>
          </cell>
          <cell r="F293">
            <v>475</v>
          </cell>
          <cell r="G293">
            <v>5.79E-2</v>
          </cell>
          <cell r="H293">
            <v>7.0415085000000002E-2</v>
          </cell>
          <cell r="I293">
            <v>0.10306865152673404</v>
          </cell>
          <cell r="J293">
            <v>0.12048825394248974</v>
          </cell>
          <cell r="K293">
            <v>8.5649049110978329E-2</v>
          </cell>
          <cell r="L293">
            <v>8.7658199999999997</v>
          </cell>
          <cell r="M293">
            <v>34.395844662130038</v>
          </cell>
          <cell r="N293">
            <v>43.336048718731845</v>
          </cell>
          <cell r="O293">
            <v>27.3</v>
          </cell>
          <cell r="P293">
            <v>0.12482560283490146</v>
          </cell>
          <cell r="Q293">
            <v>0.13955537801771425</v>
          </cell>
          <cell r="R293">
            <v>0.11087850923047263</v>
          </cell>
          <cell r="S293">
            <v>27.3</v>
          </cell>
          <cell r="T293">
            <v>22.68</v>
          </cell>
          <cell r="U293">
            <v>61</v>
          </cell>
          <cell r="V293">
            <v>0.77300000000000002</v>
          </cell>
        </row>
        <row r="294">
          <cell r="C294">
            <v>750</v>
          </cell>
          <cell r="D294">
            <v>400</v>
          </cell>
          <cell r="E294">
            <v>475</v>
          </cell>
          <cell r="F294">
            <v>535</v>
          </cell>
          <cell r="G294">
            <v>4.6300000000000001E-2</v>
          </cell>
          <cell r="H294">
            <v>5.6307745000000006E-2</v>
          </cell>
          <cell r="I294">
            <v>0.10178812484513504</v>
          </cell>
          <cell r="J294">
            <v>0.11920772726089075</v>
          </cell>
          <cell r="K294">
            <v>8.4368522429379339E-2</v>
          </cell>
          <cell r="L294">
            <v>9.7977750000000015</v>
          </cell>
          <cell r="M294">
            <v>37.797631496846193</v>
          </cell>
          <cell r="N294">
            <v>47.622031559045979</v>
          </cell>
          <cell r="O294">
            <v>30</v>
          </cell>
          <cell r="P294">
            <v>0.11632447939481105</v>
          </cell>
          <cell r="Q294">
            <v>0.13183718893275881</v>
          </cell>
          <cell r="R294">
            <v>0.10143278426574769</v>
          </cell>
          <cell r="S294">
            <v>30</v>
          </cell>
          <cell r="T294">
            <v>25.35</v>
          </cell>
          <cell r="U294">
            <v>61</v>
          </cell>
          <cell r="V294">
            <v>0.77300000000000002</v>
          </cell>
        </row>
        <row r="295">
          <cell r="C295">
            <v>1000</v>
          </cell>
          <cell r="D295">
            <v>455</v>
          </cell>
          <cell r="E295">
            <v>545</v>
          </cell>
          <cell r="F295">
            <v>615</v>
          </cell>
          <cell r="G295">
            <v>3.4700000000000002E-2</v>
          </cell>
          <cell r="H295">
            <v>4.2200405000000003E-2</v>
          </cell>
          <cell r="I295">
            <v>0.10040996725471603</v>
          </cell>
          <cell r="J295">
            <v>0.11782956967047173</v>
          </cell>
          <cell r="K295">
            <v>8.2990364838960315E-2</v>
          </cell>
          <cell r="L295">
            <v>11.308990000000001</v>
          </cell>
          <cell r="M295">
            <v>42.837315696425691</v>
          </cell>
          <cell r="N295">
            <v>53.97163576691878</v>
          </cell>
          <cell r="O295">
            <v>34</v>
          </cell>
          <cell r="P295">
            <v>0.10891756380977849</v>
          </cell>
          <cell r="Q295">
            <v>0.12515862603469477</v>
          </cell>
          <cell r="R295">
            <v>9.3103570491511051E-2</v>
          </cell>
          <cell r="S295">
            <v>34</v>
          </cell>
          <cell r="T295">
            <v>29.26</v>
          </cell>
          <cell r="U295">
            <v>61</v>
          </cell>
          <cell r="V295">
            <v>0.77300000000000002</v>
          </cell>
        </row>
        <row r="296">
          <cell r="C296" t="str">
            <v>1/0</v>
          </cell>
          <cell r="D296">
            <v>125</v>
          </cell>
          <cell r="E296">
            <v>150</v>
          </cell>
          <cell r="F296">
            <v>170</v>
          </cell>
          <cell r="G296">
            <v>0.32900000000000001</v>
          </cell>
          <cell r="H296">
            <v>0.40011335000000003</v>
          </cell>
          <cell r="I296">
            <v>0.11277346024390124</v>
          </cell>
          <cell r="J296">
            <v>0.13019306265965694</v>
          </cell>
          <cell r="K296">
            <v>9.5353857828145525E-2</v>
          </cell>
          <cell r="L296">
            <v>3.5853400000000004</v>
          </cell>
          <cell r="M296">
            <v>16.000997333664888</v>
          </cell>
          <cell r="N296">
            <v>20.159993359996133</v>
          </cell>
          <cell r="O296">
            <v>12.7</v>
          </cell>
          <cell r="P296">
            <v>0.41570247315069619</v>
          </cell>
          <cell r="Q296">
            <v>0.42076231581847234</v>
          </cell>
          <cell r="R296">
            <v>0.41131867335550509</v>
          </cell>
          <cell r="S296">
            <v>12.7</v>
          </cell>
          <cell r="T296">
            <v>9.4600000000000009</v>
          </cell>
          <cell r="U296">
            <v>19</v>
          </cell>
          <cell r="V296">
            <v>0.75800000000000001</v>
          </cell>
        </row>
        <row r="297">
          <cell r="C297" t="str">
            <v>2/0</v>
          </cell>
          <cell r="D297">
            <v>145</v>
          </cell>
          <cell r="E297">
            <v>175</v>
          </cell>
          <cell r="F297">
            <v>195</v>
          </cell>
          <cell r="G297">
            <v>0.26100000000000001</v>
          </cell>
          <cell r="H297">
            <v>0.31741515000000003</v>
          </cell>
          <cell r="I297">
            <v>0.11078903016816494</v>
          </cell>
          <cell r="J297">
            <v>0.12820863258392065</v>
          </cell>
          <cell r="K297">
            <v>9.3369427752409223E-2</v>
          </cell>
          <cell r="L297">
            <v>4.0287700000000006</v>
          </cell>
          <cell r="M297">
            <v>17.512902593538737</v>
          </cell>
          <cell r="N297">
            <v>22.064874622357973</v>
          </cell>
          <cell r="O297">
            <v>13.9</v>
          </cell>
          <cell r="P297">
            <v>0.33619426921814877</v>
          </cell>
          <cell r="Q297">
            <v>0.34233000294826815</v>
          </cell>
          <cell r="R297">
            <v>0.33086285298947493</v>
          </cell>
          <cell r="S297">
            <v>13.9</v>
          </cell>
          <cell r="T297">
            <v>10.63</v>
          </cell>
          <cell r="U297">
            <v>19</v>
          </cell>
          <cell r="V297">
            <v>0.75800000000000001</v>
          </cell>
        </row>
        <row r="298">
          <cell r="C298" t="str">
            <v>3/0</v>
          </cell>
          <cell r="D298">
            <v>165</v>
          </cell>
          <cell r="E298">
            <v>200</v>
          </cell>
          <cell r="F298">
            <v>225</v>
          </cell>
          <cell r="G298">
            <v>0.20699999999999999</v>
          </cell>
          <cell r="H298">
            <v>0.25174305000000002</v>
          </cell>
          <cell r="I298">
            <v>0.10876793130118526</v>
          </cell>
          <cell r="J298">
            <v>0.12618753371694097</v>
          </cell>
          <cell r="K298">
            <v>9.1348328885429542E-2</v>
          </cell>
          <cell r="L298">
            <v>4.5252600000000003</v>
          </cell>
          <cell r="M298">
            <v>19.150799958402072</v>
          </cell>
          <cell r="N298">
            <v>24.12849598991663</v>
          </cell>
          <cell r="O298">
            <v>15.2</v>
          </cell>
          <cell r="P298">
            <v>0.27423534801852562</v>
          </cell>
          <cell r="Q298">
            <v>0.28159875157547593</v>
          </cell>
          <cell r="R298">
            <v>0.26780418296483555</v>
          </cell>
          <cell r="S298">
            <v>15.2</v>
          </cell>
          <cell r="T298">
            <v>11.94</v>
          </cell>
          <cell r="U298">
            <v>19</v>
          </cell>
          <cell r="V298">
            <v>0.75800000000000001</v>
          </cell>
        </row>
        <row r="299">
          <cell r="C299" t="str">
            <v>4/0</v>
          </cell>
          <cell r="D299">
            <v>195</v>
          </cell>
          <cell r="E299">
            <v>230</v>
          </cell>
          <cell r="F299">
            <v>260</v>
          </cell>
          <cell r="G299">
            <v>0.16400000000000001</v>
          </cell>
          <cell r="H299">
            <v>0.19944860000000003</v>
          </cell>
          <cell r="I299">
            <v>0.10716602196038821</v>
          </cell>
          <cell r="J299">
            <v>0.12458562437614391</v>
          </cell>
          <cell r="K299">
            <v>8.97464195446325E-2</v>
          </cell>
          <cell r="L299">
            <v>5.0785999999999998</v>
          </cell>
          <cell r="M299">
            <v>21.040681533244381</v>
          </cell>
          <cell r="N299">
            <v>26.50959756786893</v>
          </cell>
          <cell r="O299">
            <v>16.7</v>
          </cell>
          <cell r="P299">
            <v>0.22641621034010445</v>
          </cell>
          <cell r="Q299">
            <v>0.23516233083373203</v>
          </cell>
          <cell r="R299">
            <v>0.21871022807139406</v>
          </cell>
          <cell r="S299">
            <v>16.7</v>
          </cell>
          <cell r="T299">
            <v>13.4</v>
          </cell>
          <cell r="U299">
            <v>19</v>
          </cell>
          <cell r="V299">
            <v>0.75800000000000001</v>
          </cell>
        </row>
        <row r="302">
          <cell r="B302" t="str">
            <v>ITM-SW</v>
          </cell>
          <cell r="J302" t="str">
            <v>ITM-CH</v>
          </cell>
        </row>
        <row r="303">
          <cell r="B303" t="str">
            <v>square'd I- Line</v>
          </cell>
          <cell r="J303" t="str">
            <v>Cuttler hammer</v>
          </cell>
        </row>
        <row r="304">
          <cell r="B304">
            <v>0.999</v>
          </cell>
          <cell r="C304" t="str">
            <v>ITM nom</v>
          </cell>
          <cell r="D304" t="str">
            <v>CATALOGO</v>
          </cell>
          <cell r="E304" t="str">
            <v>Cable de tierra</v>
          </cell>
          <cell r="F304" t="str">
            <v>MARCO</v>
          </cell>
          <cell r="G304" t="str">
            <v>Cap. Int.</v>
          </cell>
          <cell r="J304">
            <v>0.999</v>
          </cell>
          <cell r="K304" t="str">
            <v>ITM nom</v>
          </cell>
          <cell r="L304" t="str">
            <v>CATALOGO</v>
          </cell>
          <cell r="M304" t="str">
            <v>Cable de tierra</v>
          </cell>
          <cell r="N304" t="str">
            <v>MARCO</v>
          </cell>
          <cell r="O304" t="str">
            <v>Cap. Int.</v>
          </cell>
        </row>
        <row r="305">
          <cell r="B305">
            <v>0</v>
          </cell>
          <cell r="C305">
            <v>1E-3</v>
          </cell>
          <cell r="D305" t="str">
            <v>FD360</v>
          </cell>
          <cell r="E305">
            <v>14</v>
          </cell>
          <cell r="F305" t="str">
            <v>FD</v>
          </cell>
          <cell r="G305">
            <v>18</v>
          </cell>
          <cell r="J305">
            <v>0</v>
          </cell>
          <cell r="K305">
            <v>0.1</v>
          </cell>
          <cell r="L305" t="str">
            <v>CH</v>
          </cell>
          <cell r="M305">
            <v>14</v>
          </cell>
          <cell r="N305" t="str">
            <v>QO</v>
          </cell>
          <cell r="O305">
            <v>10</v>
          </cell>
        </row>
        <row r="306">
          <cell r="B306">
            <v>9.990000000000001E-4</v>
          </cell>
          <cell r="C306">
            <v>20</v>
          </cell>
          <cell r="D306" t="str">
            <v>FD360</v>
          </cell>
          <cell r="E306">
            <v>14</v>
          </cell>
          <cell r="F306" t="str">
            <v>FD</v>
          </cell>
          <cell r="G306">
            <v>18</v>
          </cell>
          <cell r="J306">
            <v>9.9900000000000003E-2</v>
          </cell>
          <cell r="K306" t="str">
            <v>O15</v>
          </cell>
          <cell r="L306" t="str">
            <v>CH</v>
          </cell>
          <cell r="M306">
            <v>14</v>
          </cell>
          <cell r="N306" t="str">
            <v>QO</v>
          </cell>
          <cell r="O306">
            <v>10</v>
          </cell>
        </row>
        <row r="307">
          <cell r="B307">
            <v>19.98</v>
          </cell>
          <cell r="C307">
            <v>20</v>
          </cell>
          <cell r="D307" t="str">
            <v>FD360</v>
          </cell>
          <cell r="E307">
            <v>12</v>
          </cell>
          <cell r="F307" t="str">
            <v>FD</v>
          </cell>
          <cell r="G307">
            <v>18</v>
          </cell>
          <cell r="J307">
            <v>14.984999999999999</v>
          </cell>
          <cell r="K307" t="str">
            <v>O20</v>
          </cell>
          <cell r="L307" t="str">
            <v>CH</v>
          </cell>
          <cell r="M307">
            <v>12</v>
          </cell>
          <cell r="N307" t="str">
            <v>QO</v>
          </cell>
          <cell r="O307">
            <v>10</v>
          </cell>
        </row>
        <row r="308">
          <cell r="B308">
            <v>19.98</v>
          </cell>
          <cell r="C308">
            <v>30</v>
          </cell>
          <cell r="D308" t="str">
            <v>FD360</v>
          </cell>
          <cell r="E308">
            <v>12</v>
          </cell>
          <cell r="F308" t="str">
            <v>FD</v>
          </cell>
          <cell r="G308">
            <v>18</v>
          </cell>
          <cell r="J308">
            <v>19.98</v>
          </cell>
          <cell r="K308" t="str">
            <v>O30</v>
          </cell>
          <cell r="L308" t="str">
            <v>CH</v>
          </cell>
          <cell r="M308">
            <v>10</v>
          </cell>
          <cell r="N308" t="str">
            <v>QO</v>
          </cell>
          <cell r="O308">
            <v>10</v>
          </cell>
        </row>
        <row r="309">
          <cell r="B309">
            <v>29.97</v>
          </cell>
          <cell r="C309">
            <v>40</v>
          </cell>
          <cell r="D309" t="str">
            <v>FD360</v>
          </cell>
          <cell r="E309">
            <v>12</v>
          </cell>
          <cell r="F309" t="str">
            <v>FD</v>
          </cell>
          <cell r="G309">
            <v>18</v>
          </cell>
          <cell r="J309">
            <v>29.97</v>
          </cell>
          <cell r="K309" t="str">
            <v>O40</v>
          </cell>
          <cell r="L309" t="str">
            <v>CH</v>
          </cell>
          <cell r="M309">
            <v>10</v>
          </cell>
          <cell r="N309" t="str">
            <v>QO</v>
          </cell>
          <cell r="O309">
            <v>10</v>
          </cell>
        </row>
        <row r="310">
          <cell r="B310">
            <v>39.96</v>
          </cell>
          <cell r="C310">
            <v>50</v>
          </cell>
          <cell r="D310" t="str">
            <v>FD360</v>
          </cell>
          <cell r="E310">
            <v>10</v>
          </cell>
          <cell r="F310" t="str">
            <v>FD</v>
          </cell>
          <cell r="G310">
            <v>18</v>
          </cell>
          <cell r="J310">
            <v>39.96</v>
          </cell>
          <cell r="K310" t="str">
            <v>O50</v>
          </cell>
          <cell r="L310" t="str">
            <v>CH</v>
          </cell>
          <cell r="M310">
            <v>10</v>
          </cell>
          <cell r="N310" t="str">
            <v>QO</v>
          </cell>
          <cell r="O310">
            <v>10</v>
          </cell>
        </row>
        <row r="311">
          <cell r="B311">
            <v>49.95</v>
          </cell>
          <cell r="C311">
            <v>70</v>
          </cell>
          <cell r="D311" t="str">
            <v>FD360</v>
          </cell>
          <cell r="E311">
            <v>10</v>
          </cell>
          <cell r="F311" t="str">
            <v>FD</v>
          </cell>
          <cell r="G311">
            <v>18</v>
          </cell>
          <cell r="J311">
            <v>49.95</v>
          </cell>
          <cell r="K311" t="str">
            <v>O70</v>
          </cell>
          <cell r="L311" t="str">
            <v>CH</v>
          </cell>
          <cell r="M311">
            <v>10</v>
          </cell>
          <cell r="N311" t="str">
            <v>QO</v>
          </cell>
          <cell r="O311">
            <v>10</v>
          </cell>
        </row>
        <row r="312">
          <cell r="B312">
            <v>69.930000000000007</v>
          </cell>
          <cell r="C312">
            <v>100</v>
          </cell>
          <cell r="D312" t="str">
            <v>FD36</v>
          </cell>
          <cell r="E312">
            <v>8</v>
          </cell>
          <cell r="F312" t="str">
            <v>FD</v>
          </cell>
          <cell r="G312">
            <v>18</v>
          </cell>
          <cell r="J312">
            <v>69.930000000000007</v>
          </cell>
          <cell r="K312">
            <v>100</v>
          </cell>
          <cell r="L312" t="str">
            <v>CH</v>
          </cell>
          <cell r="M312">
            <v>8</v>
          </cell>
          <cell r="N312" t="str">
            <v>QO</v>
          </cell>
          <cell r="O312">
            <v>10</v>
          </cell>
        </row>
        <row r="313">
          <cell r="B313">
            <v>99.9</v>
          </cell>
          <cell r="C313">
            <v>125</v>
          </cell>
          <cell r="D313" t="str">
            <v>JD36</v>
          </cell>
          <cell r="E313">
            <v>6</v>
          </cell>
          <cell r="F313" t="str">
            <v>JD</v>
          </cell>
          <cell r="G313">
            <v>25</v>
          </cell>
          <cell r="J313">
            <v>99.9</v>
          </cell>
          <cell r="K313">
            <v>125</v>
          </cell>
          <cell r="L313" t="str">
            <v>CH</v>
          </cell>
          <cell r="M313">
            <v>6</v>
          </cell>
          <cell r="N313" t="str">
            <v>QO</v>
          </cell>
        </row>
        <row r="314">
          <cell r="B314">
            <v>124.875</v>
          </cell>
          <cell r="C314">
            <v>150</v>
          </cell>
          <cell r="D314" t="str">
            <v>JD36</v>
          </cell>
          <cell r="E314">
            <v>6</v>
          </cell>
          <cell r="F314" t="str">
            <v>JD</v>
          </cell>
          <cell r="G314">
            <v>25</v>
          </cell>
          <cell r="J314">
            <v>124.875</v>
          </cell>
          <cell r="K314">
            <v>150</v>
          </cell>
          <cell r="L314" t="str">
            <v>CH</v>
          </cell>
          <cell r="M314">
            <v>6</v>
          </cell>
          <cell r="N314" t="str">
            <v>QO</v>
          </cell>
        </row>
        <row r="315">
          <cell r="B315">
            <v>149.85</v>
          </cell>
          <cell r="C315">
            <v>175</v>
          </cell>
          <cell r="D315" t="str">
            <v>JD36</v>
          </cell>
          <cell r="E315">
            <v>6</v>
          </cell>
          <cell r="F315" t="str">
            <v>JD</v>
          </cell>
          <cell r="G315">
            <v>25</v>
          </cell>
          <cell r="J315">
            <v>149.85</v>
          </cell>
          <cell r="K315">
            <v>175</v>
          </cell>
          <cell r="L315" t="str">
            <v>CH</v>
          </cell>
          <cell r="M315">
            <v>6</v>
          </cell>
          <cell r="N315" t="str">
            <v>QO</v>
          </cell>
        </row>
        <row r="316">
          <cell r="B316">
            <v>174.82499999999999</v>
          </cell>
          <cell r="C316">
            <v>200</v>
          </cell>
          <cell r="D316" t="str">
            <v>JD36</v>
          </cell>
          <cell r="E316">
            <v>6</v>
          </cell>
          <cell r="F316" t="str">
            <v>JD</v>
          </cell>
          <cell r="G316">
            <v>25</v>
          </cell>
          <cell r="J316">
            <v>174.82499999999999</v>
          </cell>
          <cell r="K316">
            <v>200</v>
          </cell>
          <cell r="L316" t="str">
            <v>CH</v>
          </cell>
          <cell r="M316">
            <v>6</v>
          </cell>
          <cell r="N316" t="str">
            <v>QO</v>
          </cell>
        </row>
        <row r="317">
          <cell r="B317">
            <v>199.8</v>
          </cell>
          <cell r="C317">
            <v>225</v>
          </cell>
          <cell r="D317" t="str">
            <v>JD36</v>
          </cell>
          <cell r="E317">
            <v>4</v>
          </cell>
          <cell r="F317" t="str">
            <v>JD</v>
          </cell>
          <cell r="G317">
            <v>25</v>
          </cell>
          <cell r="J317">
            <v>199.8</v>
          </cell>
          <cell r="K317">
            <v>225</v>
          </cell>
          <cell r="L317" t="str">
            <v>CH</v>
          </cell>
          <cell r="M317">
            <v>4</v>
          </cell>
          <cell r="N317" t="str">
            <v>QO</v>
          </cell>
        </row>
        <row r="318">
          <cell r="B318">
            <v>224.77500000000001</v>
          </cell>
          <cell r="C318">
            <v>250</v>
          </cell>
          <cell r="D318" t="str">
            <v>JD36</v>
          </cell>
          <cell r="E318">
            <v>4</v>
          </cell>
          <cell r="F318" t="str">
            <v>JD</v>
          </cell>
          <cell r="G318">
            <v>25</v>
          </cell>
          <cell r="J318">
            <v>224.77500000000001</v>
          </cell>
          <cell r="K318">
            <v>250</v>
          </cell>
          <cell r="L318" t="str">
            <v>CH</v>
          </cell>
          <cell r="M318">
            <v>4</v>
          </cell>
          <cell r="N318" t="str">
            <v>QO</v>
          </cell>
        </row>
        <row r="319">
          <cell r="B319">
            <v>249.75</v>
          </cell>
          <cell r="C319">
            <v>300</v>
          </cell>
          <cell r="D319" t="str">
            <v>KD36</v>
          </cell>
          <cell r="E319">
            <v>4</v>
          </cell>
          <cell r="F319" t="str">
            <v>KD</v>
          </cell>
          <cell r="G319">
            <v>30</v>
          </cell>
          <cell r="J319">
            <v>249.75</v>
          </cell>
          <cell r="K319">
            <v>300</v>
          </cell>
          <cell r="L319" t="str">
            <v>CH</v>
          </cell>
          <cell r="M319">
            <v>4</v>
          </cell>
          <cell r="N319" t="str">
            <v>QO</v>
          </cell>
        </row>
        <row r="320">
          <cell r="B320">
            <v>299.7</v>
          </cell>
          <cell r="C320">
            <v>350</v>
          </cell>
          <cell r="D320" t="str">
            <v>KD36</v>
          </cell>
          <cell r="E320">
            <v>2</v>
          </cell>
          <cell r="F320" t="str">
            <v>KD</v>
          </cell>
          <cell r="G320">
            <v>30</v>
          </cell>
          <cell r="J320">
            <v>299.7</v>
          </cell>
          <cell r="K320">
            <v>350</v>
          </cell>
          <cell r="L320" t="str">
            <v>CH</v>
          </cell>
          <cell r="M320">
            <v>2</v>
          </cell>
          <cell r="N320" t="str">
            <v>QO</v>
          </cell>
        </row>
        <row r="321">
          <cell r="B321">
            <v>349.65</v>
          </cell>
          <cell r="C321">
            <v>400</v>
          </cell>
          <cell r="D321" t="str">
            <v>KD36</v>
          </cell>
          <cell r="E321">
            <v>2</v>
          </cell>
          <cell r="F321" t="str">
            <v>KD</v>
          </cell>
          <cell r="G321">
            <v>30</v>
          </cell>
          <cell r="J321">
            <v>349.65</v>
          </cell>
          <cell r="K321">
            <v>400</v>
          </cell>
          <cell r="L321" t="str">
            <v>CH</v>
          </cell>
          <cell r="M321">
            <v>2</v>
          </cell>
          <cell r="N321" t="str">
            <v>QO</v>
          </cell>
        </row>
        <row r="322">
          <cell r="B322">
            <v>399.6</v>
          </cell>
          <cell r="C322">
            <v>500</v>
          </cell>
          <cell r="D322" t="str">
            <v>LD36</v>
          </cell>
          <cell r="E322">
            <v>2</v>
          </cell>
          <cell r="F322" t="str">
            <v>LD</v>
          </cell>
          <cell r="G322">
            <v>30</v>
          </cell>
          <cell r="J322">
            <v>399.6</v>
          </cell>
          <cell r="K322">
            <v>500</v>
          </cell>
          <cell r="L322" t="str">
            <v>CH</v>
          </cell>
          <cell r="M322">
            <v>2</v>
          </cell>
          <cell r="N322" t="str">
            <v>QO</v>
          </cell>
        </row>
        <row r="323">
          <cell r="B323">
            <v>499.5</v>
          </cell>
          <cell r="C323">
            <v>600</v>
          </cell>
          <cell r="D323" t="str">
            <v>LD36</v>
          </cell>
          <cell r="E323" t="str">
            <v>1/0</v>
          </cell>
          <cell r="F323" t="str">
            <v>LD</v>
          </cell>
          <cell r="G323">
            <v>30</v>
          </cell>
          <cell r="J323">
            <v>499.5</v>
          </cell>
          <cell r="K323">
            <v>600</v>
          </cell>
          <cell r="L323" t="str">
            <v>CH</v>
          </cell>
          <cell r="M323" t="str">
            <v>1/0</v>
          </cell>
          <cell r="N323" t="str">
            <v>QO</v>
          </cell>
        </row>
        <row r="324">
          <cell r="B324">
            <v>599.4</v>
          </cell>
          <cell r="C324">
            <v>700</v>
          </cell>
          <cell r="D324" t="str">
            <v>MDS36</v>
          </cell>
          <cell r="E324" t="str">
            <v>1/0</v>
          </cell>
          <cell r="F324" t="str">
            <v>MDS</v>
          </cell>
          <cell r="G324">
            <v>30</v>
          </cell>
          <cell r="J324">
            <v>599.4</v>
          </cell>
          <cell r="K324">
            <v>700</v>
          </cell>
          <cell r="L324" t="str">
            <v>CH</v>
          </cell>
          <cell r="M324" t="str">
            <v>1/0</v>
          </cell>
          <cell r="N324" t="str">
            <v>QO</v>
          </cell>
        </row>
        <row r="325">
          <cell r="B325">
            <v>699.3</v>
          </cell>
          <cell r="C325">
            <v>800</v>
          </cell>
          <cell r="D325" t="str">
            <v>MDS36</v>
          </cell>
          <cell r="E325" t="str">
            <v>1/0</v>
          </cell>
          <cell r="F325" t="str">
            <v>MDS</v>
          </cell>
          <cell r="G325">
            <v>30</v>
          </cell>
          <cell r="J325">
            <v>699.3</v>
          </cell>
          <cell r="K325">
            <v>800</v>
          </cell>
          <cell r="L325" t="str">
            <v>CH</v>
          </cell>
          <cell r="M325" t="str">
            <v>1/0</v>
          </cell>
          <cell r="N325" t="str">
            <v>QO</v>
          </cell>
        </row>
        <row r="326">
          <cell r="B326">
            <v>799.2</v>
          </cell>
          <cell r="C326">
            <v>900</v>
          </cell>
          <cell r="D326" t="str">
            <v>ND36</v>
          </cell>
          <cell r="E326" t="str">
            <v>2/0</v>
          </cell>
          <cell r="F326" t="str">
            <v>ND</v>
          </cell>
          <cell r="G326">
            <v>50</v>
          </cell>
          <cell r="J326">
            <v>799.2</v>
          </cell>
          <cell r="K326">
            <v>900</v>
          </cell>
          <cell r="L326" t="str">
            <v>CH</v>
          </cell>
          <cell r="M326" t="str">
            <v>2/0</v>
          </cell>
          <cell r="N326" t="str">
            <v>QO</v>
          </cell>
        </row>
        <row r="327">
          <cell r="B327">
            <v>899.1</v>
          </cell>
          <cell r="C327">
            <v>1000</v>
          </cell>
          <cell r="D327" t="str">
            <v>ND36</v>
          </cell>
          <cell r="E327" t="str">
            <v>2/0</v>
          </cell>
          <cell r="F327" t="str">
            <v>ND</v>
          </cell>
          <cell r="G327">
            <v>50</v>
          </cell>
          <cell r="J327">
            <v>899.1</v>
          </cell>
          <cell r="K327">
            <v>1000</v>
          </cell>
          <cell r="L327" t="str">
            <v>CH</v>
          </cell>
          <cell r="M327" t="str">
            <v>2/0</v>
          </cell>
          <cell r="N327" t="str">
            <v>QO</v>
          </cell>
        </row>
        <row r="328">
          <cell r="B328">
            <v>999</v>
          </cell>
          <cell r="C328">
            <v>1200</v>
          </cell>
          <cell r="D328" t="str">
            <v>ND36</v>
          </cell>
          <cell r="E328" t="str">
            <v>3/0</v>
          </cell>
          <cell r="F328" t="str">
            <v>ND</v>
          </cell>
          <cell r="G328">
            <v>50</v>
          </cell>
          <cell r="J328">
            <v>999</v>
          </cell>
          <cell r="K328">
            <v>1200</v>
          </cell>
          <cell r="L328" t="str">
            <v>CH</v>
          </cell>
          <cell r="M328" t="str">
            <v>3/0</v>
          </cell>
          <cell r="N328" t="str">
            <v>QO</v>
          </cell>
        </row>
        <row r="329">
          <cell r="B329">
            <v>1198.8</v>
          </cell>
          <cell r="C329">
            <v>1600</v>
          </cell>
          <cell r="D329" t="str">
            <v>ND36</v>
          </cell>
          <cell r="E329" t="str">
            <v>4/0</v>
          </cell>
          <cell r="F329" t="str">
            <v>ND</v>
          </cell>
          <cell r="G329">
            <v>50</v>
          </cell>
          <cell r="J329">
            <v>1198.8</v>
          </cell>
          <cell r="K329">
            <v>1600</v>
          </cell>
          <cell r="M329" t="str">
            <v>4/0</v>
          </cell>
        </row>
        <row r="330">
          <cell r="B330">
            <v>1598.4</v>
          </cell>
          <cell r="C330">
            <v>2000</v>
          </cell>
          <cell r="D330" t="str">
            <v>ND36</v>
          </cell>
          <cell r="E330">
            <v>250</v>
          </cell>
          <cell r="F330" t="str">
            <v>ND</v>
          </cell>
          <cell r="J330">
            <v>1598.4</v>
          </cell>
          <cell r="K330">
            <v>2000</v>
          </cell>
          <cell r="M330">
            <v>250</v>
          </cell>
        </row>
        <row r="331">
          <cell r="B331">
            <v>1998</v>
          </cell>
          <cell r="C331">
            <v>2500</v>
          </cell>
          <cell r="D331" t="str">
            <v>ND36</v>
          </cell>
          <cell r="E331">
            <v>350</v>
          </cell>
          <cell r="F331" t="str">
            <v>ND</v>
          </cell>
          <cell r="J331">
            <v>1998</v>
          </cell>
          <cell r="K331">
            <v>2500</v>
          </cell>
          <cell r="M331">
            <v>350</v>
          </cell>
        </row>
        <row r="332">
          <cell r="B332">
            <v>2497.5</v>
          </cell>
          <cell r="C332">
            <v>3000</v>
          </cell>
          <cell r="D332" t="str">
            <v>ND36</v>
          </cell>
          <cell r="E332">
            <v>400</v>
          </cell>
          <cell r="F332" t="str">
            <v>ND</v>
          </cell>
          <cell r="J332">
            <v>2497.5</v>
          </cell>
          <cell r="K332">
            <v>3000</v>
          </cell>
          <cell r="M332">
            <v>400</v>
          </cell>
        </row>
        <row r="333">
          <cell r="B333">
            <v>2997</v>
          </cell>
          <cell r="C333">
            <v>4000</v>
          </cell>
          <cell r="D333" t="str">
            <v>ND36</v>
          </cell>
          <cell r="E333">
            <v>500</v>
          </cell>
          <cell r="F333" t="str">
            <v>ND</v>
          </cell>
          <cell r="J333">
            <v>2997</v>
          </cell>
          <cell r="K333">
            <v>4000</v>
          </cell>
          <cell r="M333">
            <v>500</v>
          </cell>
        </row>
        <row r="334">
          <cell r="B334">
            <v>3996</v>
          </cell>
          <cell r="C334">
            <v>5000</v>
          </cell>
          <cell r="D334" t="str">
            <v>ND36</v>
          </cell>
          <cell r="E334">
            <v>700</v>
          </cell>
          <cell r="F334" t="str">
            <v>ND</v>
          </cell>
          <cell r="J334">
            <v>3996</v>
          </cell>
          <cell r="K334">
            <v>5000</v>
          </cell>
          <cell r="M334">
            <v>700</v>
          </cell>
        </row>
        <row r="335">
          <cell r="B335">
            <v>4995</v>
          </cell>
          <cell r="C335">
            <v>6000</v>
          </cell>
          <cell r="D335" t="str">
            <v>ND36</v>
          </cell>
          <cell r="E335">
            <v>800</v>
          </cell>
          <cell r="F335" t="str">
            <v>ND</v>
          </cell>
          <cell r="J335">
            <v>4995</v>
          </cell>
          <cell r="K335">
            <v>6000</v>
          </cell>
          <cell r="M335">
            <v>800</v>
          </cell>
        </row>
      </sheetData>
      <sheetData sheetId="1"/>
      <sheetData sheetId="2"/>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65"/>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blurRad="63500"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99"/>
  <sheetViews>
    <sheetView showGridLines="0" topLeftCell="A65" workbookViewId="0">
      <selection activeCell="G66" sqref="G66"/>
    </sheetView>
  </sheetViews>
  <sheetFormatPr baseColWidth="10" defaultColWidth="11" defaultRowHeight="10.199999999999999"/>
  <cols>
    <col min="1" max="1" width="4.44140625" style="154" bestFit="1" customWidth="1"/>
    <col min="2" max="2" width="17.44140625" style="154" customWidth="1"/>
    <col min="3" max="3" width="12.44140625" style="154" bestFit="1" customWidth="1"/>
    <col min="4" max="4" width="5" style="154" bestFit="1" customWidth="1"/>
    <col min="5" max="6" width="4.44140625" style="154" bestFit="1" customWidth="1"/>
    <col min="7" max="74" width="11" style="154" customWidth="1"/>
    <col min="75" max="16384" width="11" style="154"/>
  </cols>
  <sheetData>
    <row r="1" spans="1:10" s="155" customFormat="1" ht="32.4" hidden="1" customHeight="1">
      <c r="A1" s="371" t="s">
        <v>0</v>
      </c>
      <c r="B1" s="367"/>
      <c r="C1" s="367"/>
      <c r="D1" s="367"/>
      <c r="E1" s="367"/>
      <c r="F1" s="367"/>
      <c r="G1" s="367"/>
    </row>
    <row r="2" spans="1:10" s="155" customFormat="1" ht="39.15" hidden="1" customHeight="1">
      <c r="B2" s="366" t="s">
        <v>1</v>
      </c>
      <c r="C2" s="367"/>
      <c r="D2" s="367"/>
      <c r="E2" s="367"/>
      <c r="F2" s="367"/>
      <c r="G2" s="156"/>
    </row>
    <row r="3" spans="1:10" s="155" customFormat="1" ht="30.75" hidden="1" customHeight="1">
      <c r="B3" s="366" t="s">
        <v>2</v>
      </c>
      <c r="C3" s="367"/>
      <c r="D3" s="367"/>
      <c r="E3" s="367"/>
      <c r="F3" s="367"/>
      <c r="G3" s="156"/>
    </row>
    <row r="4" spans="1:10" s="155" customFormat="1" hidden="1">
      <c r="G4" s="156"/>
    </row>
    <row r="5" spans="1:10" s="155" customFormat="1" hidden="1">
      <c r="A5" s="158" t="s">
        <v>3</v>
      </c>
      <c r="B5" s="158" t="s">
        <v>4</v>
      </c>
      <c r="C5" s="158" t="s">
        <v>5</v>
      </c>
      <c r="D5" s="158" t="s">
        <v>6</v>
      </c>
      <c r="E5" s="158" t="s">
        <v>7</v>
      </c>
      <c r="F5" s="158" t="s">
        <v>8</v>
      </c>
      <c r="G5" s="158" t="s">
        <v>9</v>
      </c>
    </row>
    <row r="6" spans="1:10" hidden="1"/>
    <row r="7" spans="1:10" hidden="1">
      <c r="A7" s="161">
        <v>1</v>
      </c>
      <c r="B7" s="161" t="s">
        <v>10</v>
      </c>
      <c r="C7" s="157" t="s">
        <v>11</v>
      </c>
      <c r="D7" s="164">
        <v>4</v>
      </c>
      <c r="E7" s="164">
        <v>7.2</v>
      </c>
      <c r="F7" s="164">
        <v>5.6</v>
      </c>
      <c r="G7" s="159">
        <f>F7</f>
        <v>5.6</v>
      </c>
    </row>
    <row r="8" spans="1:10" hidden="1">
      <c r="A8" s="368">
        <v>2</v>
      </c>
      <c r="B8" s="368" t="s">
        <v>12</v>
      </c>
      <c r="C8" s="157" t="s">
        <v>13</v>
      </c>
      <c r="D8" s="164">
        <v>4.2</v>
      </c>
      <c r="E8" s="164">
        <v>6.6</v>
      </c>
      <c r="F8" s="164">
        <v>5.7</v>
      </c>
      <c r="G8" s="363">
        <f>SUM(F8:F11)/4</f>
        <v>5.6</v>
      </c>
    </row>
    <row r="9" spans="1:10" hidden="1">
      <c r="A9" s="364"/>
      <c r="B9" s="364"/>
      <c r="C9" s="157" t="s">
        <v>14</v>
      </c>
      <c r="D9" s="164">
        <v>3.9</v>
      </c>
      <c r="E9" s="164">
        <v>7.3</v>
      </c>
      <c r="F9" s="164">
        <v>5.5</v>
      </c>
      <c r="G9" s="364"/>
    </row>
    <row r="10" spans="1:10" hidden="1">
      <c r="A10" s="364"/>
      <c r="B10" s="364"/>
      <c r="C10" s="157" t="s">
        <v>15</v>
      </c>
      <c r="D10" s="164">
        <v>3.7</v>
      </c>
      <c r="E10" s="164">
        <v>7.1</v>
      </c>
      <c r="F10" s="164">
        <v>5.5</v>
      </c>
      <c r="G10" s="364"/>
      <c r="H10" s="163"/>
      <c r="I10" s="163"/>
      <c r="J10" s="163"/>
    </row>
    <row r="11" spans="1:10" hidden="1">
      <c r="A11" s="365"/>
      <c r="B11" s="365"/>
      <c r="C11" s="157" t="s">
        <v>16</v>
      </c>
      <c r="D11" s="164">
        <v>4.5</v>
      </c>
      <c r="E11" s="164">
        <v>6.3</v>
      </c>
      <c r="F11" s="164">
        <v>5.7</v>
      </c>
      <c r="G11" s="365"/>
    </row>
    <row r="12" spans="1:10" hidden="1">
      <c r="A12" s="161">
        <v>3</v>
      </c>
      <c r="B12" s="161" t="s">
        <v>17</v>
      </c>
      <c r="C12" s="157" t="s">
        <v>17</v>
      </c>
      <c r="D12" s="164">
        <v>4.4000000000000004</v>
      </c>
      <c r="E12" s="164">
        <v>6</v>
      </c>
      <c r="F12" s="164">
        <v>5.2</v>
      </c>
      <c r="G12" s="165">
        <f>F12</f>
        <v>5.2</v>
      </c>
    </row>
    <row r="13" spans="1:10" hidden="1">
      <c r="A13" s="368">
        <v>4</v>
      </c>
      <c r="B13" s="368" t="s">
        <v>18</v>
      </c>
      <c r="C13" s="157" t="s">
        <v>19</v>
      </c>
      <c r="D13" s="164">
        <v>4.7</v>
      </c>
      <c r="E13" s="164">
        <v>5.9</v>
      </c>
      <c r="F13" s="164">
        <v>5.4</v>
      </c>
      <c r="G13" s="369">
        <f>SUM(F13:F17)/5</f>
        <v>4.76</v>
      </c>
    </row>
    <row r="14" spans="1:10" hidden="1">
      <c r="A14" s="364"/>
      <c r="B14" s="364"/>
      <c r="C14" s="157" t="s">
        <v>20</v>
      </c>
      <c r="D14" s="164">
        <v>4.0999999999999996</v>
      </c>
      <c r="E14" s="164">
        <v>5.0999999999999996</v>
      </c>
      <c r="F14" s="164">
        <v>4.5</v>
      </c>
      <c r="G14" s="364"/>
    </row>
    <row r="15" spans="1:10" hidden="1">
      <c r="A15" s="364"/>
      <c r="B15" s="364"/>
      <c r="C15" s="157" t="s">
        <v>21</v>
      </c>
      <c r="D15" s="164">
        <v>3.7</v>
      </c>
      <c r="E15" s="164">
        <v>5.4</v>
      </c>
      <c r="F15" s="164">
        <v>4.5</v>
      </c>
      <c r="G15" s="364"/>
    </row>
    <row r="16" spans="1:10" hidden="1">
      <c r="A16" s="364"/>
      <c r="B16" s="364"/>
      <c r="C16" s="157" t="s">
        <v>22</v>
      </c>
      <c r="D16" s="164">
        <v>4.0999999999999996</v>
      </c>
      <c r="E16" s="164">
        <v>5.4</v>
      </c>
      <c r="F16" s="164">
        <v>4.7</v>
      </c>
      <c r="G16" s="364"/>
    </row>
    <row r="17" spans="1:7" hidden="1">
      <c r="A17" s="365"/>
      <c r="B17" s="365"/>
      <c r="C17" s="157" t="s">
        <v>23</v>
      </c>
      <c r="D17" s="164">
        <v>3.7</v>
      </c>
      <c r="E17" s="164">
        <v>5.4</v>
      </c>
      <c r="F17" s="164">
        <v>4.7</v>
      </c>
      <c r="G17" s="365"/>
    </row>
    <row r="18" spans="1:7" hidden="1">
      <c r="A18" s="368">
        <v>5</v>
      </c>
      <c r="B18" s="368" t="s">
        <v>24</v>
      </c>
      <c r="C18" s="157" t="s">
        <v>24</v>
      </c>
      <c r="D18" s="164">
        <v>5.3</v>
      </c>
      <c r="E18" s="164">
        <v>8.9</v>
      </c>
      <c r="F18" s="164">
        <v>5.9</v>
      </c>
      <c r="G18" s="369">
        <f>SUM(F18:F20)/3</f>
        <v>6.333333333333333</v>
      </c>
    </row>
    <row r="19" spans="1:7" hidden="1">
      <c r="A19" s="364"/>
      <c r="B19" s="364"/>
      <c r="C19" s="157" t="s">
        <v>25</v>
      </c>
      <c r="D19" s="164">
        <v>3.3</v>
      </c>
      <c r="E19" s="164">
        <v>6.9</v>
      </c>
      <c r="F19" s="164">
        <v>6.4</v>
      </c>
      <c r="G19" s="364"/>
    </row>
    <row r="20" spans="1:7" hidden="1">
      <c r="A20" s="365"/>
      <c r="B20" s="365"/>
      <c r="C20" s="157" t="s">
        <v>26</v>
      </c>
      <c r="D20" s="164">
        <v>5.9</v>
      </c>
      <c r="E20" s="164">
        <v>7.4</v>
      </c>
      <c r="F20" s="164">
        <v>6.7</v>
      </c>
      <c r="G20" s="365"/>
    </row>
    <row r="21" spans="1:7" hidden="1">
      <c r="A21" s="368">
        <v>6</v>
      </c>
      <c r="B21" s="368" t="s">
        <v>27</v>
      </c>
      <c r="C21" s="157" t="s">
        <v>28</v>
      </c>
      <c r="D21" s="164">
        <v>2.9</v>
      </c>
      <c r="E21" s="164">
        <v>6.7</v>
      </c>
      <c r="F21" s="164">
        <v>4.5</v>
      </c>
      <c r="G21" s="369">
        <f>SUM(F21:F22)/2</f>
        <v>4.6500000000000004</v>
      </c>
    </row>
    <row r="22" spans="1:7" hidden="1">
      <c r="A22" s="365"/>
      <c r="B22" s="365"/>
      <c r="C22" s="157" t="s">
        <v>29</v>
      </c>
      <c r="D22" s="164">
        <v>3.3</v>
      </c>
      <c r="E22" s="164">
        <v>5.9</v>
      </c>
      <c r="F22" s="164">
        <v>4.8</v>
      </c>
      <c r="G22" s="365"/>
    </row>
    <row r="23" spans="1:7" hidden="1">
      <c r="A23" s="161">
        <v>7</v>
      </c>
      <c r="B23" s="161" t="s">
        <v>30</v>
      </c>
      <c r="C23" s="157" t="s">
        <v>30</v>
      </c>
      <c r="D23" s="164">
        <v>3.9</v>
      </c>
      <c r="E23" s="164">
        <v>6</v>
      </c>
      <c r="F23" s="164">
        <v>4.9000000000000004</v>
      </c>
      <c r="G23" s="165">
        <f>F23</f>
        <v>4.9000000000000004</v>
      </c>
    </row>
    <row r="24" spans="1:7" hidden="1">
      <c r="A24" s="161">
        <v>8</v>
      </c>
      <c r="B24" s="161" t="s">
        <v>31</v>
      </c>
      <c r="C24" s="157" t="s">
        <v>32</v>
      </c>
      <c r="D24" s="164">
        <v>4.5</v>
      </c>
      <c r="E24" s="164">
        <v>6.4</v>
      </c>
      <c r="F24" s="164">
        <v>5.3</v>
      </c>
      <c r="G24" s="165">
        <f>F24</f>
        <v>5.3</v>
      </c>
    </row>
    <row r="25" spans="1:7" hidden="1">
      <c r="A25" s="161">
        <v>9</v>
      </c>
      <c r="B25" s="161" t="s">
        <v>33</v>
      </c>
      <c r="C25" s="157" t="s">
        <v>33</v>
      </c>
      <c r="D25" s="164">
        <v>3.9</v>
      </c>
      <c r="E25" s="164">
        <v>7.5</v>
      </c>
      <c r="F25" s="164">
        <v>5.7</v>
      </c>
      <c r="G25" s="165">
        <f>F25</f>
        <v>5.7</v>
      </c>
    </row>
    <row r="26" spans="1:7" hidden="1">
      <c r="A26" s="161">
        <v>10</v>
      </c>
      <c r="B26" s="161" t="s">
        <v>34</v>
      </c>
      <c r="C26" s="157" t="s">
        <v>34</v>
      </c>
      <c r="D26" s="164">
        <v>4.4000000000000004</v>
      </c>
      <c r="E26" s="164">
        <v>6.6</v>
      </c>
      <c r="F26" s="164">
        <v>5.6</v>
      </c>
      <c r="G26" s="165">
        <f>F26</f>
        <v>5.6</v>
      </c>
    </row>
    <row r="27" spans="1:7" hidden="1">
      <c r="A27" s="368">
        <v>11</v>
      </c>
      <c r="B27" s="368" t="s">
        <v>35</v>
      </c>
      <c r="C27" s="157" t="s">
        <v>36</v>
      </c>
      <c r="D27" s="164">
        <v>4.7</v>
      </c>
      <c r="E27" s="164">
        <v>6.1</v>
      </c>
      <c r="F27" s="164">
        <v>5.3</v>
      </c>
      <c r="G27" s="369">
        <f>SUM(F27:F29)/3</f>
        <v>5.2333333333333334</v>
      </c>
    </row>
    <row r="28" spans="1:7" hidden="1">
      <c r="A28" s="364"/>
      <c r="B28" s="364"/>
      <c r="C28" s="157" t="s">
        <v>37</v>
      </c>
      <c r="D28" s="164">
        <v>5.4</v>
      </c>
      <c r="E28" s="164">
        <v>6</v>
      </c>
      <c r="F28" s="164">
        <v>5.7</v>
      </c>
      <c r="G28" s="364"/>
    </row>
    <row r="29" spans="1:7" hidden="1">
      <c r="A29" s="365"/>
      <c r="B29" s="365"/>
      <c r="C29" s="157" t="s">
        <v>38</v>
      </c>
      <c r="D29" s="164">
        <v>3.8</v>
      </c>
      <c r="E29" s="164">
        <v>5.2</v>
      </c>
      <c r="F29" s="164">
        <v>4.7</v>
      </c>
      <c r="G29" s="365"/>
    </row>
    <row r="30" spans="1:7" hidden="1">
      <c r="A30" s="161">
        <v>12</v>
      </c>
      <c r="B30" s="161" t="s">
        <v>39</v>
      </c>
      <c r="C30" s="157" t="s">
        <v>40</v>
      </c>
      <c r="D30" s="164">
        <v>4.2</v>
      </c>
      <c r="E30" s="164">
        <v>6.8</v>
      </c>
      <c r="F30" s="164">
        <v>5.4</v>
      </c>
      <c r="G30" s="165">
        <f>F30</f>
        <v>5.4</v>
      </c>
    </row>
    <row r="31" spans="1:7" hidden="1">
      <c r="A31" s="368">
        <v>13</v>
      </c>
      <c r="B31" s="368" t="s">
        <v>41</v>
      </c>
      <c r="C31" s="157" t="s">
        <v>42</v>
      </c>
      <c r="D31" s="164">
        <v>4.0999999999999996</v>
      </c>
      <c r="E31" s="164">
        <v>8.1999999999999993</v>
      </c>
      <c r="F31" s="164">
        <v>5.9</v>
      </c>
      <c r="G31" s="363">
        <f>SUM(F31:F34)/4</f>
        <v>5.625</v>
      </c>
    </row>
    <row r="32" spans="1:7" hidden="1">
      <c r="A32" s="364"/>
      <c r="B32" s="364"/>
      <c r="C32" s="157" t="s">
        <v>43</v>
      </c>
      <c r="D32" s="164">
        <v>4</v>
      </c>
      <c r="E32" s="164">
        <v>7.7</v>
      </c>
      <c r="F32" s="164">
        <v>5.6</v>
      </c>
      <c r="G32" s="364"/>
    </row>
    <row r="33" spans="1:7" hidden="1">
      <c r="A33" s="364"/>
      <c r="B33" s="364"/>
      <c r="C33" s="157" t="s">
        <v>44</v>
      </c>
      <c r="D33" s="164">
        <v>4</v>
      </c>
      <c r="E33" s="164">
        <v>7.2</v>
      </c>
      <c r="F33" s="164">
        <v>5.5</v>
      </c>
      <c r="G33" s="364"/>
    </row>
    <row r="34" spans="1:7" hidden="1">
      <c r="A34" s="365"/>
      <c r="B34" s="365"/>
      <c r="C34" s="157" t="s">
        <v>45</v>
      </c>
      <c r="D34" s="164">
        <v>4.7</v>
      </c>
      <c r="E34" s="164">
        <v>6</v>
      </c>
      <c r="F34" s="164">
        <v>5.5</v>
      </c>
      <c r="G34" s="365"/>
    </row>
    <row r="35" spans="1:7" hidden="1">
      <c r="A35" s="161">
        <v>14</v>
      </c>
      <c r="B35" s="161" t="s">
        <v>46</v>
      </c>
      <c r="C35" s="157" t="s">
        <v>47</v>
      </c>
      <c r="D35" s="164">
        <v>3.9</v>
      </c>
      <c r="E35" s="164">
        <v>5.9</v>
      </c>
      <c r="F35" s="164">
        <v>5.0999999999999996</v>
      </c>
      <c r="G35" s="165">
        <f>F35</f>
        <v>5.0999999999999996</v>
      </c>
    </row>
    <row r="36" spans="1:7" hidden="1">
      <c r="A36" s="161">
        <v>15</v>
      </c>
      <c r="B36" s="161" t="s">
        <v>48</v>
      </c>
      <c r="C36" s="157" t="s">
        <v>49</v>
      </c>
      <c r="D36" s="164">
        <v>3.7</v>
      </c>
      <c r="E36" s="164">
        <v>5.9</v>
      </c>
      <c r="F36" s="164">
        <v>4.9000000000000004</v>
      </c>
      <c r="G36" s="165">
        <f>F36</f>
        <v>4.9000000000000004</v>
      </c>
    </row>
    <row r="37" spans="1:7" hidden="1">
      <c r="A37" s="161">
        <v>16</v>
      </c>
      <c r="B37" s="161" t="s">
        <v>50</v>
      </c>
      <c r="C37" s="157" t="s">
        <v>51</v>
      </c>
      <c r="D37" s="164">
        <v>3.9</v>
      </c>
      <c r="E37" s="164">
        <v>6.1</v>
      </c>
      <c r="F37" s="164">
        <v>4.8</v>
      </c>
      <c r="G37" s="165">
        <f>F37</f>
        <v>4.8</v>
      </c>
    </row>
    <row r="38" spans="1:7" hidden="1">
      <c r="A38" s="161">
        <v>17</v>
      </c>
      <c r="B38" s="161" t="s">
        <v>52</v>
      </c>
      <c r="C38" s="157" t="s">
        <v>53</v>
      </c>
      <c r="D38" s="164">
        <v>3</v>
      </c>
      <c r="E38" s="164">
        <v>6.1</v>
      </c>
      <c r="F38" s="164">
        <v>4.4000000000000004</v>
      </c>
      <c r="G38" s="165">
        <f>F38</f>
        <v>4.4000000000000004</v>
      </c>
    </row>
    <row r="39" spans="1:7" hidden="1">
      <c r="A39" s="368">
        <v>18</v>
      </c>
      <c r="B39" s="368" t="s">
        <v>54</v>
      </c>
      <c r="C39" s="157" t="s">
        <v>54</v>
      </c>
      <c r="D39" s="164">
        <v>4.4000000000000004</v>
      </c>
      <c r="E39" s="164">
        <v>6</v>
      </c>
      <c r="F39" s="164">
        <v>5.3</v>
      </c>
      <c r="G39" s="369">
        <f>SUM(F39:F40)/2</f>
        <v>5.55</v>
      </c>
    </row>
    <row r="40" spans="1:7" hidden="1">
      <c r="A40" s="365"/>
      <c r="B40" s="365"/>
      <c r="C40" s="157" t="s">
        <v>55</v>
      </c>
      <c r="D40" s="164">
        <v>5</v>
      </c>
      <c r="E40" s="164">
        <v>6.6</v>
      </c>
      <c r="F40" s="164">
        <v>5.8</v>
      </c>
      <c r="G40" s="365"/>
    </row>
    <row r="41" spans="1:7" hidden="1">
      <c r="A41" s="161">
        <v>19</v>
      </c>
      <c r="B41" s="161" t="s">
        <v>56</v>
      </c>
      <c r="C41" s="157" t="s">
        <v>56</v>
      </c>
      <c r="D41" s="164">
        <v>4.4000000000000004</v>
      </c>
      <c r="E41" s="164">
        <v>6.4</v>
      </c>
      <c r="F41" s="164">
        <v>5.5</v>
      </c>
      <c r="G41" s="165">
        <f>F41</f>
        <v>5.5</v>
      </c>
    </row>
    <row r="42" spans="1:7" hidden="1">
      <c r="A42" s="161">
        <v>20</v>
      </c>
      <c r="B42" s="161" t="s">
        <v>57</v>
      </c>
      <c r="C42" s="157" t="s">
        <v>57</v>
      </c>
      <c r="D42" s="164">
        <v>4.4000000000000004</v>
      </c>
      <c r="E42" s="164">
        <v>6.9</v>
      </c>
      <c r="F42" s="164">
        <v>5.9</v>
      </c>
      <c r="G42" s="165">
        <f>F42</f>
        <v>5.9</v>
      </c>
    </row>
    <row r="43" spans="1:7" hidden="1">
      <c r="A43" s="368">
        <v>21</v>
      </c>
      <c r="B43" s="368" t="s">
        <v>58</v>
      </c>
      <c r="C43" s="157" t="s">
        <v>59</v>
      </c>
      <c r="D43" s="164">
        <v>3.7</v>
      </c>
      <c r="E43" s="164">
        <v>5.7</v>
      </c>
      <c r="F43" s="164">
        <v>4.7</v>
      </c>
      <c r="G43" s="369">
        <f>SUM(F43:F44)/2</f>
        <v>4.7</v>
      </c>
    </row>
    <row r="44" spans="1:7" hidden="1">
      <c r="A44" s="365"/>
      <c r="B44" s="365"/>
      <c r="C44" s="157" t="s">
        <v>60</v>
      </c>
      <c r="D44" s="164">
        <v>3.8</v>
      </c>
      <c r="E44" s="164">
        <v>5.7</v>
      </c>
      <c r="F44" s="164">
        <v>4.7</v>
      </c>
      <c r="G44" s="365"/>
    </row>
    <row r="45" spans="1:7" hidden="1">
      <c r="A45" s="368">
        <v>22</v>
      </c>
      <c r="B45" s="368" t="s">
        <v>61</v>
      </c>
      <c r="C45" s="157" t="s">
        <v>62</v>
      </c>
      <c r="D45" s="164">
        <v>3.3</v>
      </c>
      <c r="E45" s="164">
        <v>5.8</v>
      </c>
      <c r="F45" s="164">
        <v>4.7</v>
      </c>
      <c r="G45" s="369">
        <f>SUM(F45:F46)/2</f>
        <v>5.0500000000000007</v>
      </c>
    </row>
    <row r="46" spans="1:7" hidden="1">
      <c r="A46" s="365"/>
      <c r="B46" s="365"/>
      <c r="C46" s="157" t="s">
        <v>61</v>
      </c>
      <c r="D46" s="164">
        <v>3.7</v>
      </c>
      <c r="E46" s="164">
        <v>6.4</v>
      </c>
      <c r="F46" s="164">
        <v>5.4</v>
      </c>
      <c r="G46" s="365"/>
    </row>
    <row r="47" spans="1:7" hidden="1">
      <c r="A47" s="368">
        <v>23</v>
      </c>
      <c r="B47" s="368" t="s">
        <v>63</v>
      </c>
      <c r="C47" s="157" t="s">
        <v>64</v>
      </c>
      <c r="D47" s="164">
        <v>3.4</v>
      </c>
      <c r="E47" s="164">
        <v>6.2</v>
      </c>
      <c r="F47" s="164">
        <v>4.9000000000000004</v>
      </c>
      <c r="G47" s="369">
        <f>SUM(F47:F49)/3</f>
        <v>5.0666666666666673</v>
      </c>
    </row>
    <row r="48" spans="1:7" hidden="1">
      <c r="A48" s="364"/>
      <c r="B48" s="364"/>
      <c r="C48" s="157" t="s">
        <v>65</v>
      </c>
      <c r="D48" s="164">
        <v>4.3</v>
      </c>
      <c r="E48" s="164">
        <v>5.9</v>
      </c>
      <c r="F48" s="164">
        <v>5.4</v>
      </c>
      <c r="G48" s="364"/>
    </row>
    <row r="49" spans="1:7" hidden="1">
      <c r="A49" s="365"/>
      <c r="B49" s="365"/>
      <c r="C49" s="157" t="s">
        <v>66</v>
      </c>
      <c r="D49" s="164">
        <v>3.9</v>
      </c>
      <c r="E49" s="164">
        <v>5.7</v>
      </c>
      <c r="F49" s="164">
        <v>4.9000000000000004</v>
      </c>
      <c r="G49" s="365"/>
    </row>
    <row r="50" spans="1:7" hidden="1">
      <c r="A50" s="368">
        <v>24</v>
      </c>
      <c r="B50" s="368" t="s">
        <v>67</v>
      </c>
      <c r="C50" s="157" t="s">
        <v>68</v>
      </c>
      <c r="D50" s="164">
        <v>5.3</v>
      </c>
      <c r="E50" s="164">
        <v>7.26</v>
      </c>
      <c r="F50" s="164">
        <v>6.5</v>
      </c>
      <c r="G50" s="369">
        <f>SUM(F50:F52)/3</f>
        <v>6.166666666666667</v>
      </c>
    </row>
    <row r="51" spans="1:7" hidden="1">
      <c r="A51" s="364"/>
      <c r="B51" s="364"/>
      <c r="C51" s="157" t="s">
        <v>69</v>
      </c>
      <c r="D51" s="164">
        <v>4.5</v>
      </c>
      <c r="E51" s="164">
        <v>7.3</v>
      </c>
      <c r="F51" s="164">
        <v>6</v>
      </c>
      <c r="G51" s="364"/>
    </row>
    <row r="52" spans="1:7" hidden="1">
      <c r="A52" s="365"/>
      <c r="B52" s="365"/>
      <c r="C52" s="157" t="s">
        <v>70</v>
      </c>
      <c r="D52" s="164">
        <v>3.9</v>
      </c>
      <c r="E52" s="164">
        <v>8.6</v>
      </c>
      <c r="F52" s="164">
        <v>6</v>
      </c>
      <c r="G52" s="365"/>
    </row>
    <row r="53" spans="1:7" hidden="1">
      <c r="A53" s="368">
        <v>25</v>
      </c>
      <c r="B53" s="368" t="s">
        <v>71</v>
      </c>
      <c r="C53" s="157" t="s">
        <v>72</v>
      </c>
      <c r="D53" s="164">
        <v>3.2</v>
      </c>
      <c r="E53" s="164">
        <v>5.4</v>
      </c>
      <c r="F53" s="164">
        <v>4.5999999999999996</v>
      </c>
      <c r="G53" s="369">
        <f>SUM(F53:F54)/2</f>
        <v>4.55</v>
      </c>
    </row>
    <row r="54" spans="1:7" hidden="1">
      <c r="A54" s="365"/>
      <c r="B54" s="365"/>
      <c r="C54" s="157" t="s">
        <v>73</v>
      </c>
      <c r="D54" s="164">
        <v>3.2</v>
      </c>
      <c r="E54" s="164">
        <v>6.4</v>
      </c>
      <c r="F54" s="164">
        <v>4.5</v>
      </c>
      <c r="G54" s="365"/>
    </row>
    <row r="55" spans="1:7" hidden="1">
      <c r="A55" s="161">
        <v>26</v>
      </c>
      <c r="B55" s="161" t="s">
        <v>74</v>
      </c>
      <c r="C55" s="157" t="s">
        <v>74</v>
      </c>
      <c r="D55" s="164">
        <v>4</v>
      </c>
      <c r="E55" s="164">
        <v>5.6</v>
      </c>
      <c r="F55" s="164">
        <v>5.0999999999999996</v>
      </c>
      <c r="G55" s="165">
        <f>F55</f>
        <v>5.0999999999999996</v>
      </c>
    </row>
    <row r="56" spans="1:7" hidden="1">
      <c r="A56" s="368">
        <v>27</v>
      </c>
      <c r="B56" s="368" t="s">
        <v>75</v>
      </c>
      <c r="C56" s="157" t="s">
        <v>76</v>
      </c>
      <c r="D56" s="164">
        <v>2.8</v>
      </c>
      <c r="E56" s="164">
        <v>4.5999999999999996</v>
      </c>
      <c r="F56" s="164">
        <v>3.7</v>
      </c>
      <c r="G56" s="369">
        <f>SUM(F56:F58)/3</f>
        <v>4.1000000000000005</v>
      </c>
    </row>
    <row r="57" spans="1:7" hidden="1">
      <c r="A57" s="364"/>
      <c r="B57" s="364"/>
      <c r="C57" s="157" t="s">
        <v>77</v>
      </c>
      <c r="D57" s="164">
        <v>3</v>
      </c>
      <c r="E57" s="164">
        <v>5</v>
      </c>
      <c r="F57" s="164">
        <v>4</v>
      </c>
      <c r="G57" s="364"/>
    </row>
    <row r="58" spans="1:7" hidden="1">
      <c r="A58" s="365"/>
      <c r="B58" s="365"/>
      <c r="C58" s="157" t="s">
        <v>75</v>
      </c>
      <c r="D58" s="164">
        <v>3.6</v>
      </c>
      <c r="E58" s="164">
        <v>5.0999999999999996</v>
      </c>
      <c r="F58" s="164">
        <v>4.5999999999999996</v>
      </c>
      <c r="G58" s="365"/>
    </row>
    <row r="59" spans="1:7" hidden="1">
      <c r="A59" s="368">
        <v>28</v>
      </c>
      <c r="B59" s="368" t="s">
        <v>78</v>
      </c>
      <c r="C59" s="157" t="s">
        <v>79</v>
      </c>
      <c r="D59" s="164">
        <v>3.4</v>
      </c>
      <c r="E59" s="164">
        <v>5.7</v>
      </c>
      <c r="F59" s="164">
        <v>4.7</v>
      </c>
      <c r="G59" s="369">
        <f>SUM(F59:F61)/3</f>
        <v>4.7</v>
      </c>
    </row>
    <row r="60" spans="1:7" hidden="1">
      <c r="A60" s="364"/>
      <c r="B60" s="364"/>
      <c r="C60" s="157" t="s">
        <v>80</v>
      </c>
      <c r="D60" s="164">
        <v>4</v>
      </c>
      <c r="E60" s="164">
        <v>5.5</v>
      </c>
      <c r="F60" s="164">
        <v>4.9000000000000004</v>
      </c>
      <c r="G60" s="364"/>
    </row>
    <row r="61" spans="1:7" hidden="1">
      <c r="A61" s="365"/>
      <c r="B61" s="365"/>
      <c r="C61" s="157" t="s">
        <v>81</v>
      </c>
      <c r="D61" s="164">
        <v>3.1</v>
      </c>
      <c r="E61" s="164">
        <v>5.7</v>
      </c>
      <c r="F61" s="164">
        <v>4.5</v>
      </c>
      <c r="G61" s="365"/>
    </row>
    <row r="62" spans="1:7" hidden="1">
      <c r="A62" s="161">
        <v>29</v>
      </c>
      <c r="B62" s="161" t="s">
        <v>82</v>
      </c>
      <c r="C62" s="157" t="s">
        <v>82</v>
      </c>
      <c r="D62" s="164">
        <v>4.0999999999999996</v>
      </c>
      <c r="E62" s="164">
        <v>7.8</v>
      </c>
      <c r="F62" s="164">
        <v>5.8</v>
      </c>
      <c r="G62" s="165">
        <f>F62</f>
        <v>5.8</v>
      </c>
    </row>
    <row r="63" spans="1:7" hidden="1"/>
    <row r="64" spans="1:7" hidden="1"/>
    <row r="65" spans="1:7" ht="13.2" customHeight="1">
      <c r="A65" s="371" t="s">
        <v>0</v>
      </c>
      <c r="B65" s="370"/>
      <c r="C65" s="370"/>
      <c r="D65" s="370"/>
      <c r="E65" s="370"/>
      <c r="F65" s="370"/>
      <c r="G65" s="370"/>
    </row>
    <row r="66" spans="1:7" ht="13.2" customHeight="1">
      <c r="A66" s="155"/>
      <c r="B66" s="366" t="s">
        <v>1</v>
      </c>
      <c r="C66" s="370"/>
      <c r="D66" s="370"/>
      <c r="E66" s="370"/>
      <c r="F66" s="370"/>
      <c r="G66" s="156"/>
    </row>
    <row r="67" spans="1:7" ht="13.2" customHeight="1">
      <c r="A67" s="155"/>
      <c r="B67" s="366" t="s">
        <v>2</v>
      </c>
      <c r="C67" s="370"/>
      <c r="D67" s="370"/>
      <c r="E67" s="370"/>
      <c r="F67" s="370"/>
      <c r="G67" s="156"/>
    </row>
    <row r="68" spans="1:7">
      <c r="A68" s="155"/>
      <c r="B68" s="155"/>
      <c r="C68" s="155"/>
      <c r="D68" s="155"/>
      <c r="E68" s="155"/>
      <c r="F68" s="155"/>
      <c r="G68" s="156"/>
    </row>
    <row r="69" spans="1:7">
      <c r="A69" s="158" t="s">
        <v>3</v>
      </c>
      <c r="B69" s="158" t="s">
        <v>4</v>
      </c>
      <c r="C69" s="158" t="s">
        <v>5</v>
      </c>
      <c r="D69" s="158" t="s">
        <v>6</v>
      </c>
      <c r="E69" s="158" t="s">
        <v>7</v>
      </c>
      <c r="F69" s="158" t="s">
        <v>8</v>
      </c>
      <c r="G69" s="158" t="s">
        <v>9</v>
      </c>
    </row>
    <row r="71" spans="1:7">
      <c r="A71" s="161">
        <v>1</v>
      </c>
      <c r="B71" s="161" t="s">
        <v>10</v>
      </c>
      <c r="C71" s="157" t="s">
        <v>11</v>
      </c>
      <c r="D71" s="164">
        <v>4</v>
      </c>
      <c r="E71" s="164">
        <v>7.2</v>
      </c>
      <c r="F71" s="164">
        <v>5.6</v>
      </c>
      <c r="G71" s="159">
        <v>5.6</v>
      </c>
    </row>
    <row r="72" spans="1:7">
      <c r="A72" s="162">
        <v>2</v>
      </c>
      <c r="B72" s="162" t="s">
        <v>12</v>
      </c>
      <c r="C72" s="157" t="s">
        <v>13</v>
      </c>
      <c r="D72" s="164">
        <v>4.2</v>
      </c>
      <c r="E72" s="164">
        <v>6.6</v>
      </c>
      <c r="F72" s="164">
        <v>5.7</v>
      </c>
      <c r="G72" s="160">
        <v>5.6</v>
      </c>
    </row>
    <row r="73" spans="1:7">
      <c r="A73" s="161">
        <v>3</v>
      </c>
      <c r="B73" s="161" t="s">
        <v>17</v>
      </c>
      <c r="C73" s="157" t="s">
        <v>17</v>
      </c>
      <c r="D73" s="164">
        <v>4.4000000000000004</v>
      </c>
      <c r="E73" s="164">
        <v>6</v>
      </c>
      <c r="F73" s="164">
        <v>5.2</v>
      </c>
      <c r="G73" s="165">
        <v>5.2</v>
      </c>
    </row>
    <row r="74" spans="1:7">
      <c r="A74" s="162">
        <v>4</v>
      </c>
      <c r="B74" s="162" t="s">
        <v>18</v>
      </c>
      <c r="C74" s="157" t="s">
        <v>19</v>
      </c>
      <c r="D74" s="164">
        <v>4.7</v>
      </c>
      <c r="E74" s="164">
        <v>5.9</v>
      </c>
      <c r="F74" s="164">
        <v>5.4</v>
      </c>
      <c r="G74" s="166">
        <v>4.76</v>
      </c>
    </row>
    <row r="75" spans="1:7">
      <c r="A75" s="162">
        <v>5</v>
      </c>
      <c r="B75" s="162" t="s">
        <v>24</v>
      </c>
      <c r="C75" s="157" t="s">
        <v>24</v>
      </c>
      <c r="D75" s="164">
        <v>5.3</v>
      </c>
      <c r="E75" s="164">
        <v>8.9</v>
      </c>
      <c r="F75" s="164">
        <v>5.9</v>
      </c>
      <c r="G75" s="166">
        <v>6.333333333333333</v>
      </c>
    </row>
    <row r="76" spans="1:7">
      <c r="A76" s="162">
        <v>6</v>
      </c>
      <c r="B76" s="162" t="s">
        <v>27</v>
      </c>
      <c r="C76" s="157" t="s">
        <v>28</v>
      </c>
      <c r="D76" s="164">
        <v>2.9</v>
      </c>
      <c r="E76" s="164">
        <v>6.7</v>
      </c>
      <c r="F76" s="164">
        <v>4.5</v>
      </c>
      <c r="G76" s="166">
        <v>4.6500000000000004</v>
      </c>
    </row>
    <row r="77" spans="1:7">
      <c r="A77" s="161">
        <v>7</v>
      </c>
      <c r="B77" s="161" t="s">
        <v>30</v>
      </c>
      <c r="C77" s="157" t="s">
        <v>30</v>
      </c>
      <c r="D77" s="164">
        <v>3.9</v>
      </c>
      <c r="E77" s="164">
        <v>6</v>
      </c>
      <c r="F77" s="164">
        <v>4.9000000000000004</v>
      </c>
      <c r="G77" s="165">
        <v>4.9000000000000004</v>
      </c>
    </row>
    <row r="78" spans="1:7">
      <c r="A78" s="161">
        <v>8</v>
      </c>
      <c r="B78" s="161" t="s">
        <v>31</v>
      </c>
      <c r="C78" s="157" t="s">
        <v>32</v>
      </c>
      <c r="D78" s="164">
        <v>4.5</v>
      </c>
      <c r="E78" s="164">
        <v>6.4</v>
      </c>
      <c r="F78" s="164">
        <v>5.3</v>
      </c>
      <c r="G78" s="165">
        <v>5.3</v>
      </c>
    </row>
    <row r="79" spans="1:7">
      <c r="A79" s="161">
        <v>9</v>
      </c>
      <c r="B79" s="161" t="s">
        <v>33</v>
      </c>
      <c r="C79" s="157" t="s">
        <v>33</v>
      </c>
      <c r="D79" s="164">
        <v>3.9</v>
      </c>
      <c r="E79" s="164">
        <v>7.5</v>
      </c>
      <c r="F79" s="164">
        <v>5.7</v>
      </c>
      <c r="G79" s="165">
        <v>5.7</v>
      </c>
    </row>
    <row r="80" spans="1:7">
      <c r="A80" s="161">
        <v>10</v>
      </c>
      <c r="B80" s="161" t="s">
        <v>34</v>
      </c>
      <c r="C80" s="157" t="s">
        <v>34</v>
      </c>
      <c r="D80" s="164">
        <v>4.4000000000000004</v>
      </c>
      <c r="E80" s="164">
        <v>6.6</v>
      </c>
      <c r="F80" s="164">
        <v>5.6</v>
      </c>
      <c r="G80" s="165">
        <v>5.6</v>
      </c>
    </row>
    <row r="81" spans="1:7">
      <c r="A81" s="162">
        <v>11</v>
      </c>
      <c r="B81" s="162" t="s">
        <v>35</v>
      </c>
      <c r="C81" s="157" t="s">
        <v>36</v>
      </c>
      <c r="D81" s="164">
        <v>4.7</v>
      </c>
      <c r="E81" s="164">
        <v>6.1</v>
      </c>
      <c r="F81" s="164">
        <v>5.3</v>
      </c>
      <c r="G81" s="166">
        <v>5.2333333333333334</v>
      </c>
    </row>
    <row r="82" spans="1:7">
      <c r="A82" s="161">
        <v>12</v>
      </c>
      <c r="B82" s="161" t="s">
        <v>39</v>
      </c>
      <c r="C82" s="157" t="s">
        <v>40</v>
      </c>
      <c r="D82" s="164">
        <v>4.2</v>
      </c>
      <c r="E82" s="164">
        <v>6.8</v>
      </c>
      <c r="F82" s="164">
        <v>5.4</v>
      </c>
      <c r="G82" s="165">
        <v>5.4</v>
      </c>
    </row>
    <row r="83" spans="1:7">
      <c r="A83" s="162">
        <v>13</v>
      </c>
      <c r="B83" s="162" t="s">
        <v>41</v>
      </c>
      <c r="C83" s="157" t="s">
        <v>42</v>
      </c>
      <c r="D83" s="164">
        <v>4.0999999999999996</v>
      </c>
      <c r="E83" s="164">
        <v>8.1999999999999993</v>
      </c>
      <c r="F83" s="164">
        <v>5.9</v>
      </c>
      <c r="G83" s="160">
        <v>5.6</v>
      </c>
    </row>
    <row r="84" spans="1:7">
      <c r="A84" s="161">
        <v>14</v>
      </c>
      <c r="B84" s="161" t="s">
        <v>46</v>
      </c>
      <c r="C84" s="157" t="s">
        <v>47</v>
      </c>
      <c r="D84" s="164">
        <v>3.9</v>
      </c>
      <c r="E84" s="164">
        <v>5.9</v>
      </c>
      <c r="F84" s="164">
        <v>5.0999999999999996</v>
      </c>
      <c r="G84" s="165">
        <v>5.0999999999999996</v>
      </c>
    </row>
    <row r="85" spans="1:7">
      <c r="A85" s="161">
        <v>15</v>
      </c>
      <c r="B85" s="161" t="s">
        <v>48</v>
      </c>
      <c r="C85" s="157" t="s">
        <v>49</v>
      </c>
      <c r="D85" s="164">
        <v>3.7</v>
      </c>
      <c r="E85" s="164">
        <v>5.9</v>
      </c>
      <c r="F85" s="164">
        <v>4.9000000000000004</v>
      </c>
      <c r="G85" s="165">
        <v>4.9000000000000004</v>
      </c>
    </row>
    <row r="86" spans="1:7">
      <c r="A86" s="161">
        <v>16</v>
      </c>
      <c r="B86" s="161" t="s">
        <v>50</v>
      </c>
      <c r="C86" s="157" t="s">
        <v>51</v>
      </c>
      <c r="D86" s="164">
        <v>3.9</v>
      </c>
      <c r="E86" s="164">
        <v>6.1</v>
      </c>
      <c r="F86" s="164">
        <v>4.8</v>
      </c>
      <c r="G86" s="165">
        <v>4.8</v>
      </c>
    </row>
    <row r="87" spans="1:7">
      <c r="A87" s="161">
        <v>17</v>
      </c>
      <c r="B87" s="161" t="s">
        <v>52</v>
      </c>
      <c r="C87" s="157" t="s">
        <v>53</v>
      </c>
      <c r="D87" s="164">
        <v>3</v>
      </c>
      <c r="E87" s="164">
        <v>6.1</v>
      </c>
      <c r="F87" s="164">
        <v>4.4000000000000004</v>
      </c>
      <c r="G87" s="165">
        <v>4.4000000000000004</v>
      </c>
    </row>
    <row r="88" spans="1:7">
      <c r="A88" s="162">
        <v>18</v>
      </c>
      <c r="B88" s="162" t="s">
        <v>54</v>
      </c>
      <c r="C88" s="157" t="s">
        <v>54</v>
      </c>
      <c r="D88" s="164">
        <v>4.4000000000000004</v>
      </c>
      <c r="E88" s="164">
        <v>6</v>
      </c>
      <c r="F88" s="164">
        <v>5.3</v>
      </c>
      <c r="G88" s="166">
        <v>5.55</v>
      </c>
    </row>
    <row r="89" spans="1:7">
      <c r="A89" s="161">
        <v>19</v>
      </c>
      <c r="B89" s="161" t="s">
        <v>56</v>
      </c>
      <c r="C89" s="157" t="s">
        <v>56</v>
      </c>
      <c r="D89" s="164">
        <v>4.4000000000000004</v>
      </c>
      <c r="E89" s="164">
        <v>6.4</v>
      </c>
      <c r="F89" s="164">
        <v>5.5</v>
      </c>
      <c r="G89" s="165">
        <v>5.5</v>
      </c>
    </row>
    <row r="90" spans="1:7">
      <c r="A90" s="161">
        <v>20</v>
      </c>
      <c r="B90" s="161" t="s">
        <v>57</v>
      </c>
      <c r="C90" s="157" t="s">
        <v>57</v>
      </c>
      <c r="D90" s="164">
        <v>4.4000000000000004</v>
      </c>
      <c r="E90" s="164">
        <v>6.9</v>
      </c>
      <c r="F90" s="164">
        <v>5.9</v>
      </c>
      <c r="G90" s="165">
        <v>5.9</v>
      </c>
    </row>
    <row r="91" spans="1:7">
      <c r="A91" s="162">
        <v>21</v>
      </c>
      <c r="B91" s="162" t="s">
        <v>58</v>
      </c>
      <c r="C91" s="157" t="s">
        <v>59</v>
      </c>
      <c r="D91" s="164">
        <v>3.7</v>
      </c>
      <c r="E91" s="164">
        <v>5.7</v>
      </c>
      <c r="F91" s="164">
        <v>4.7</v>
      </c>
      <c r="G91" s="166">
        <v>4.7</v>
      </c>
    </row>
    <row r="92" spans="1:7">
      <c r="A92" s="162">
        <v>22</v>
      </c>
      <c r="B92" s="162" t="s">
        <v>61</v>
      </c>
      <c r="C92" s="157" t="s">
        <v>62</v>
      </c>
      <c r="D92" s="164">
        <v>3.3</v>
      </c>
      <c r="E92" s="164">
        <v>5.8</v>
      </c>
      <c r="F92" s="164">
        <v>4.7</v>
      </c>
      <c r="G92" s="166">
        <v>5.05</v>
      </c>
    </row>
    <row r="93" spans="1:7">
      <c r="A93" s="162">
        <v>23</v>
      </c>
      <c r="B93" s="162" t="s">
        <v>63</v>
      </c>
      <c r="C93" s="157" t="s">
        <v>64</v>
      </c>
      <c r="D93" s="164">
        <v>3.4</v>
      </c>
      <c r="E93" s="164">
        <v>6.2</v>
      </c>
      <c r="F93" s="164">
        <v>4.9000000000000004</v>
      </c>
      <c r="G93" s="166">
        <v>5.0666666666666673</v>
      </c>
    </row>
    <row r="94" spans="1:7">
      <c r="A94" s="162">
        <v>24</v>
      </c>
      <c r="B94" s="162" t="s">
        <v>67</v>
      </c>
      <c r="C94" s="157" t="s">
        <v>68</v>
      </c>
      <c r="D94" s="164">
        <v>5.3</v>
      </c>
      <c r="E94" s="164">
        <v>7.26</v>
      </c>
      <c r="F94" s="164">
        <v>6.5</v>
      </c>
      <c r="G94" s="166">
        <v>6.166666666666667</v>
      </c>
    </row>
    <row r="95" spans="1:7">
      <c r="A95" s="162">
        <v>25</v>
      </c>
      <c r="B95" s="162" t="s">
        <v>71</v>
      </c>
      <c r="C95" s="157" t="s">
        <v>72</v>
      </c>
      <c r="D95" s="164">
        <v>3.2</v>
      </c>
      <c r="E95" s="164">
        <v>5.4</v>
      </c>
      <c r="F95" s="164">
        <v>4.5999999999999996</v>
      </c>
      <c r="G95" s="166">
        <v>4.55</v>
      </c>
    </row>
    <row r="96" spans="1:7">
      <c r="A96" s="161">
        <v>26</v>
      </c>
      <c r="B96" s="161" t="s">
        <v>74</v>
      </c>
      <c r="C96" s="157" t="s">
        <v>74</v>
      </c>
      <c r="D96" s="164">
        <v>4</v>
      </c>
      <c r="E96" s="164">
        <v>5.6</v>
      </c>
      <c r="F96" s="164">
        <v>5.0999999999999996</v>
      </c>
      <c r="G96" s="165">
        <v>5.0999999999999996</v>
      </c>
    </row>
    <row r="97" spans="1:7">
      <c r="A97" s="162">
        <v>27</v>
      </c>
      <c r="B97" s="162" t="s">
        <v>75</v>
      </c>
      <c r="C97" s="157" t="s">
        <v>76</v>
      </c>
      <c r="D97" s="164">
        <v>2.8</v>
      </c>
      <c r="E97" s="164">
        <v>4.5999999999999996</v>
      </c>
      <c r="F97" s="164">
        <v>3.7</v>
      </c>
      <c r="G97" s="166">
        <v>4.0999999999999996</v>
      </c>
    </row>
    <row r="98" spans="1:7">
      <c r="A98" s="162">
        <v>28</v>
      </c>
      <c r="B98" s="162" t="s">
        <v>78</v>
      </c>
      <c r="C98" s="157" t="s">
        <v>79</v>
      </c>
      <c r="D98" s="164">
        <v>3.4</v>
      </c>
      <c r="E98" s="164">
        <v>5.7</v>
      </c>
      <c r="F98" s="164">
        <v>4.7</v>
      </c>
      <c r="G98" s="166">
        <v>4.7</v>
      </c>
    </row>
    <row r="99" spans="1:7">
      <c r="A99" s="161">
        <v>29</v>
      </c>
      <c r="B99" s="161" t="s">
        <v>82</v>
      </c>
      <c r="C99" s="157" t="s">
        <v>82</v>
      </c>
      <c r="D99" s="164">
        <v>4.0999999999999996</v>
      </c>
      <c r="E99" s="164">
        <v>7.8</v>
      </c>
      <c r="F99" s="164">
        <v>5.8</v>
      </c>
      <c r="G99" s="165">
        <v>5.8</v>
      </c>
    </row>
  </sheetData>
  <sheetProtection password="CC7F" sheet="1" objects="1" scenarios="1"/>
  <mergeCells count="48">
    <mergeCell ref="A1:G1"/>
    <mergeCell ref="A8:A11"/>
    <mergeCell ref="G45:G46"/>
    <mergeCell ref="A65:G65"/>
    <mergeCell ref="A18:A20"/>
    <mergeCell ref="A50:A52"/>
    <mergeCell ref="B18:B20"/>
    <mergeCell ref="B27:B29"/>
    <mergeCell ref="A53:A54"/>
    <mergeCell ref="B45:B46"/>
    <mergeCell ref="A43:A44"/>
    <mergeCell ref="G13:G17"/>
    <mergeCell ref="G31:G34"/>
    <mergeCell ref="A31:A34"/>
    <mergeCell ref="A39:A40"/>
    <mergeCell ref="G21:G22"/>
    <mergeCell ref="A13:A17"/>
    <mergeCell ref="B47:B49"/>
    <mergeCell ref="B50:B52"/>
    <mergeCell ref="G27:G29"/>
    <mergeCell ref="B59:B61"/>
    <mergeCell ref="B53:B54"/>
    <mergeCell ref="A21:A22"/>
    <mergeCell ref="B13:B17"/>
    <mergeCell ref="A27:A29"/>
    <mergeCell ref="B21:B22"/>
    <mergeCell ref="A56:A58"/>
    <mergeCell ref="G18:G20"/>
    <mergeCell ref="A45:A46"/>
    <mergeCell ref="A47:A49"/>
    <mergeCell ref="A59:A61"/>
    <mergeCell ref="B67:F67"/>
    <mergeCell ref="B56:B58"/>
    <mergeCell ref="B66:F66"/>
    <mergeCell ref="G39:G40"/>
    <mergeCell ref="G59:G61"/>
    <mergeCell ref="G50:G52"/>
    <mergeCell ref="B39:B40"/>
    <mergeCell ref="G53:G54"/>
    <mergeCell ref="G43:G44"/>
    <mergeCell ref="B43:B44"/>
    <mergeCell ref="G8:G11"/>
    <mergeCell ref="B2:F2"/>
    <mergeCell ref="B8:B11"/>
    <mergeCell ref="G56:G58"/>
    <mergeCell ref="G47:G49"/>
    <mergeCell ref="B31:B34"/>
    <mergeCell ref="B3:F3"/>
  </mergeCells>
  <pageMargins left="0.75" right="0.75" top="1" bottom="1" header="0" footer="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4:R57"/>
  <sheetViews>
    <sheetView topLeftCell="G1" workbookViewId="0">
      <selection activeCell="O26" sqref="O26"/>
    </sheetView>
  </sheetViews>
  <sheetFormatPr baseColWidth="10" defaultColWidth="10.88671875" defaultRowHeight="13.2"/>
  <cols>
    <col min="1" max="3" width="10.88671875" customWidth="1"/>
    <col min="4" max="4" width="6.44140625" bestFit="1" customWidth="1"/>
    <col min="5" max="6" width="7.44140625" bestFit="1" customWidth="1"/>
    <col min="7" max="8" width="5.44140625" bestFit="1" customWidth="1"/>
    <col min="9" max="14" width="10.88671875" customWidth="1"/>
    <col min="15" max="15" width="6.44140625" bestFit="1" customWidth="1"/>
    <col min="16" max="16" width="10.109375" bestFit="1" customWidth="1"/>
  </cols>
  <sheetData>
    <row r="4" spans="1:18" s="6" customFormat="1">
      <c r="A4" s="16"/>
      <c r="B4" s="376" t="s">
        <v>83</v>
      </c>
      <c r="C4" s="373"/>
      <c r="D4" s="373"/>
      <c r="J4" s="377" t="s">
        <v>84</v>
      </c>
      <c r="K4" s="373"/>
      <c r="L4" s="373"/>
      <c r="M4" s="373"/>
      <c r="O4" s="372" t="s">
        <v>85</v>
      </c>
      <c r="P4" s="373"/>
      <c r="Q4" s="373"/>
      <c r="R4" s="373"/>
    </row>
    <row r="5" spans="1:18" s="6" customFormat="1" ht="26.4" customHeight="1">
      <c r="A5" s="16"/>
      <c r="B5" s="16" t="s">
        <v>86</v>
      </c>
      <c r="C5" s="17" t="s">
        <v>87</v>
      </c>
      <c r="D5" s="20" t="s">
        <v>88</v>
      </c>
      <c r="E5" s="20" t="s">
        <v>89</v>
      </c>
      <c r="F5" s="20" t="s">
        <v>90</v>
      </c>
      <c r="G5" s="7" t="s">
        <v>91</v>
      </c>
      <c r="H5" s="7" t="s">
        <v>92</v>
      </c>
      <c r="J5" s="47"/>
      <c r="K5" s="81" t="s">
        <v>86</v>
      </c>
      <c r="L5" s="81" t="s">
        <v>87</v>
      </c>
      <c r="M5" s="81" t="s">
        <v>93</v>
      </c>
      <c r="O5" s="82"/>
      <c r="P5" s="83" t="s">
        <v>86</v>
      </c>
      <c r="Q5" s="83" t="s">
        <v>87</v>
      </c>
      <c r="R5" s="83" t="s">
        <v>93</v>
      </c>
    </row>
    <row r="6" spans="1:18">
      <c r="A6" s="18">
        <v>0.1</v>
      </c>
      <c r="B6" s="18">
        <v>70</v>
      </c>
      <c r="C6" s="19" t="s">
        <v>94</v>
      </c>
      <c r="D6" s="18">
        <v>0.8</v>
      </c>
      <c r="E6">
        <v>0.3</v>
      </c>
      <c r="F6">
        <v>0.3</v>
      </c>
      <c r="G6" s="3">
        <v>4</v>
      </c>
      <c r="H6" s="3">
        <v>2</v>
      </c>
      <c r="J6" s="48">
        <v>0.01</v>
      </c>
      <c r="K6" s="48">
        <v>950</v>
      </c>
      <c r="L6" s="48" t="s">
        <v>95</v>
      </c>
      <c r="M6" s="48" t="s">
        <v>96</v>
      </c>
      <c r="O6" s="84">
        <v>0.01</v>
      </c>
      <c r="P6" s="84">
        <v>647</v>
      </c>
      <c r="Q6" s="84" t="s">
        <v>97</v>
      </c>
      <c r="R6" s="84" t="s">
        <v>96</v>
      </c>
    </row>
    <row r="7" spans="1:18">
      <c r="A7" s="18">
        <f t="shared" ref="A7:A15" si="0">B6</f>
        <v>70</v>
      </c>
      <c r="B7" s="18">
        <v>100</v>
      </c>
      <c r="C7" s="19" t="s">
        <v>98</v>
      </c>
      <c r="D7" s="18">
        <v>1.05</v>
      </c>
      <c r="E7">
        <v>0.4</v>
      </c>
      <c r="F7">
        <v>0.4</v>
      </c>
      <c r="G7" s="3">
        <v>4</v>
      </c>
      <c r="H7" s="3">
        <v>2</v>
      </c>
      <c r="J7" s="48">
        <f>K6</f>
        <v>950</v>
      </c>
      <c r="K7" s="48">
        <v>1440</v>
      </c>
      <c r="L7" s="48" t="s">
        <v>99</v>
      </c>
      <c r="M7" s="48" t="s">
        <v>96</v>
      </c>
      <c r="O7" s="84">
        <f>P6</f>
        <v>647</v>
      </c>
      <c r="P7" s="84">
        <v>973</v>
      </c>
      <c r="Q7" s="84" t="s">
        <v>100</v>
      </c>
      <c r="R7" s="84" t="s">
        <v>96</v>
      </c>
    </row>
    <row r="8" spans="1:18">
      <c r="A8" s="18">
        <f t="shared" si="0"/>
        <v>100</v>
      </c>
      <c r="B8" s="18">
        <v>200</v>
      </c>
      <c r="C8" s="19" t="s">
        <v>101</v>
      </c>
      <c r="D8" s="18">
        <v>1.05</v>
      </c>
      <c r="E8">
        <v>0.4</v>
      </c>
      <c r="F8">
        <v>0.4</v>
      </c>
      <c r="G8" s="3">
        <v>4</v>
      </c>
      <c r="H8" s="3">
        <v>2</v>
      </c>
      <c r="J8" s="48">
        <f>K7</f>
        <v>1440</v>
      </c>
      <c r="K8" s="48">
        <v>2850</v>
      </c>
      <c r="L8" s="48" t="s">
        <v>102</v>
      </c>
      <c r="M8" s="48" t="s">
        <v>103</v>
      </c>
      <c r="O8" s="84">
        <f>P7</f>
        <v>973</v>
      </c>
      <c r="P8" s="84">
        <v>1180</v>
      </c>
      <c r="Q8" s="84" t="s">
        <v>104</v>
      </c>
      <c r="R8" s="84" t="s">
        <v>103</v>
      </c>
    </row>
    <row r="9" spans="1:18">
      <c r="A9" s="18">
        <f t="shared" si="0"/>
        <v>200</v>
      </c>
      <c r="B9" s="18">
        <v>400</v>
      </c>
      <c r="C9" s="19" t="s">
        <v>105</v>
      </c>
      <c r="D9" s="18">
        <v>1.1000000000000001</v>
      </c>
      <c r="E9">
        <v>0.7</v>
      </c>
      <c r="F9">
        <v>0.7</v>
      </c>
      <c r="G9" s="3">
        <v>2</v>
      </c>
      <c r="H9" s="3" t="s">
        <v>106</v>
      </c>
      <c r="J9" s="48">
        <f>K8</f>
        <v>2850</v>
      </c>
      <c r="K9" s="48">
        <v>2850</v>
      </c>
      <c r="L9" s="48" t="s">
        <v>102</v>
      </c>
      <c r="M9" s="48" t="s">
        <v>103</v>
      </c>
      <c r="O9" s="84">
        <f>P8</f>
        <v>1180</v>
      </c>
      <c r="P9" s="84">
        <v>1180</v>
      </c>
      <c r="Q9" s="84" t="s">
        <v>104</v>
      </c>
      <c r="R9" s="84" t="s">
        <v>103</v>
      </c>
    </row>
    <row r="10" spans="1:18">
      <c r="A10" s="18">
        <f t="shared" si="0"/>
        <v>400</v>
      </c>
      <c r="B10" s="18">
        <v>700</v>
      </c>
      <c r="C10" s="19" t="s">
        <v>107</v>
      </c>
      <c r="D10" s="18">
        <v>1.4</v>
      </c>
      <c r="E10">
        <v>0.8</v>
      </c>
      <c r="F10">
        <v>0.8</v>
      </c>
      <c r="G10" s="3">
        <v>2</v>
      </c>
      <c r="H10" s="3" t="s">
        <v>106</v>
      </c>
      <c r="J10" s="48">
        <f>K9</f>
        <v>2850</v>
      </c>
      <c r="K10" s="48"/>
      <c r="L10" s="48"/>
      <c r="M10" s="48"/>
      <c r="O10" s="84">
        <f>P9</f>
        <v>1180</v>
      </c>
      <c r="P10" s="84"/>
      <c r="Q10" s="84"/>
      <c r="R10" s="84"/>
    </row>
    <row r="11" spans="1:18">
      <c r="A11" s="18">
        <f t="shared" si="0"/>
        <v>700</v>
      </c>
      <c r="B11" s="18">
        <v>1000</v>
      </c>
      <c r="C11" s="19" t="s">
        <v>108</v>
      </c>
      <c r="D11" s="18">
        <v>2</v>
      </c>
      <c r="E11">
        <v>1.5</v>
      </c>
      <c r="F11">
        <v>1.5</v>
      </c>
      <c r="G11" s="3" t="s">
        <v>106</v>
      </c>
      <c r="H11" s="3">
        <v>250</v>
      </c>
      <c r="J11" s="48"/>
      <c r="K11" s="48"/>
      <c r="L11" s="48"/>
      <c r="M11" s="48"/>
      <c r="O11" s="84"/>
      <c r="P11" s="84"/>
      <c r="Q11" s="84"/>
      <c r="R11" s="84"/>
    </row>
    <row r="12" spans="1:18">
      <c r="A12" s="18">
        <f t="shared" si="0"/>
        <v>1000</v>
      </c>
      <c r="B12" s="18">
        <v>1500</v>
      </c>
      <c r="C12" s="19" t="s">
        <v>109</v>
      </c>
      <c r="D12" s="18">
        <v>2.2999999999999998</v>
      </c>
      <c r="E12">
        <v>1.5</v>
      </c>
      <c r="F12">
        <v>1.5</v>
      </c>
      <c r="G12" s="3" t="s">
        <v>106</v>
      </c>
      <c r="H12" s="3">
        <v>250</v>
      </c>
      <c r="J12" s="48"/>
      <c r="K12" s="48"/>
      <c r="L12" s="48"/>
      <c r="M12" s="48"/>
      <c r="O12" s="84"/>
      <c r="P12" s="84"/>
      <c r="Q12" s="84"/>
      <c r="R12" s="84"/>
    </row>
    <row r="13" spans="1:18">
      <c r="A13" s="18">
        <f t="shared" si="0"/>
        <v>1500</v>
      </c>
      <c r="B13" s="18">
        <v>2500</v>
      </c>
      <c r="C13" s="19" t="s">
        <v>110</v>
      </c>
      <c r="D13" s="18">
        <v>3.1</v>
      </c>
      <c r="E13">
        <v>2</v>
      </c>
      <c r="F13">
        <v>2</v>
      </c>
      <c r="G13" s="3" t="s">
        <v>106</v>
      </c>
      <c r="H13" s="3">
        <v>250</v>
      </c>
    </row>
    <row r="14" spans="1:18">
      <c r="A14" s="18">
        <f t="shared" si="0"/>
        <v>2500</v>
      </c>
      <c r="B14" s="18">
        <v>5000</v>
      </c>
      <c r="C14" s="19" t="s">
        <v>111</v>
      </c>
      <c r="D14" s="18">
        <v>3.5</v>
      </c>
      <c r="E14">
        <v>2</v>
      </c>
      <c r="F14" s="18">
        <v>2</v>
      </c>
    </row>
    <row r="15" spans="1:18">
      <c r="A15" s="18">
        <f t="shared" si="0"/>
        <v>5000</v>
      </c>
      <c r="B15" s="18"/>
      <c r="C15" s="18"/>
      <c r="D15" s="18"/>
    </row>
    <row r="17" spans="1:16" ht="22.5" customHeight="1">
      <c r="A17" s="11" t="s">
        <v>112</v>
      </c>
      <c r="B17" s="11" t="s">
        <v>113</v>
      </c>
      <c r="C17" s="11" t="s">
        <v>114</v>
      </c>
      <c r="D17" s="11" t="s">
        <v>115</v>
      </c>
      <c r="I17" s="378" t="s">
        <v>116</v>
      </c>
      <c r="J17" s="375"/>
      <c r="K17" s="85" t="s">
        <v>117</v>
      </c>
      <c r="L17" s="85" t="s">
        <v>84</v>
      </c>
      <c r="M17" s="85" t="s">
        <v>118</v>
      </c>
      <c r="N17" s="85" t="s">
        <v>119</v>
      </c>
      <c r="O17" s="85" t="s">
        <v>120</v>
      </c>
      <c r="P17" s="85" t="s">
        <v>86</v>
      </c>
    </row>
    <row r="18" spans="1:16" ht="12.75" customHeight="1">
      <c r="A18" s="12"/>
      <c r="B18" s="13">
        <v>0.7</v>
      </c>
      <c r="C18" s="14">
        <v>0.6</v>
      </c>
      <c r="D18" s="15"/>
      <c r="H18">
        <v>1</v>
      </c>
      <c r="I18" s="374" t="s">
        <v>121</v>
      </c>
      <c r="J18" s="375"/>
      <c r="K18" s="3" t="s">
        <v>122</v>
      </c>
      <c r="L18" s="3" t="str">
        <f>L8</f>
        <v>TGC04</v>
      </c>
      <c r="M18" s="3" t="str">
        <f>C11</f>
        <v>TG-1000K</v>
      </c>
      <c r="N18" s="3">
        <v>150</v>
      </c>
      <c r="O18">
        <v>250</v>
      </c>
      <c r="P18">
        <v>1000</v>
      </c>
    </row>
    <row r="19" spans="1:16">
      <c r="A19" s="12">
        <v>440</v>
      </c>
      <c r="B19" s="13">
        <v>0.75</v>
      </c>
      <c r="C19" s="14">
        <v>0.65</v>
      </c>
      <c r="D19" s="15">
        <v>1</v>
      </c>
      <c r="H19">
        <v>2</v>
      </c>
      <c r="I19" s="374" t="s">
        <v>123</v>
      </c>
      <c r="J19" s="375"/>
      <c r="K19" s="3" t="s">
        <v>124</v>
      </c>
      <c r="L19" s="3" t="str">
        <f>L6</f>
        <v>TGC01</v>
      </c>
      <c r="M19" s="3" t="str">
        <f>C8</f>
        <v>TG-100K</v>
      </c>
      <c r="N19" s="3">
        <v>80</v>
      </c>
      <c r="O19">
        <v>2</v>
      </c>
      <c r="P19">
        <v>200</v>
      </c>
    </row>
    <row r="20" spans="1:16">
      <c r="A20" s="12">
        <v>220</v>
      </c>
      <c r="B20" s="13">
        <v>0.8</v>
      </c>
      <c r="C20" s="14">
        <v>0.7</v>
      </c>
      <c r="D20" s="15">
        <v>2</v>
      </c>
      <c r="H20">
        <v>3</v>
      </c>
      <c r="I20" s="374" t="s">
        <v>125</v>
      </c>
      <c r="J20" s="375"/>
      <c r="K20" s="3" t="s">
        <v>126</v>
      </c>
      <c r="L20" s="3" t="str">
        <f>L19</f>
        <v>TGC01</v>
      </c>
      <c r="M20" s="3" t="str">
        <f>C6</f>
        <v>TG-45K</v>
      </c>
      <c r="N20" s="3">
        <v>40</v>
      </c>
      <c r="O20">
        <v>2</v>
      </c>
      <c r="P20">
        <v>70</v>
      </c>
    </row>
    <row r="21" spans="1:16">
      <c r="A21" s="12">
        <v>127</v>
      </c>
      <c r="B21" s="13">
        <v>0.85</v>
      </c>
      <c r="C21" s="14">
        <v>0.75</v>
      </c>
      <c r="D21" s="15">
        <v>3</v>
      </c>
      <c r="K21" s="3"/>
      <c r="L21" s="3"/>
      <c r="M21" s="3"/>
      <c r="N21" s="3"/>
    </row>
    <row r="22" spans="1:16">
      <c r="A22" s="11"/>
      <c r="B22" s="13">
        <v>0.9</v>
      </c>
      <c r="C22" s="14">
        <v>0.8</v>
      </c>
      <c r="D22" s="15"/>
    </row>
    <row r="23" spans="1:16">
      <c r="A23" s="11"/>
      <c r="B23" s="13">
        <v>0.95</v>
      </c>
      <c r="C23" s="14">
        <v>0.85</v>
      </c>
      <c r="D23" s="11"/>
    </row>
    <row r="24" spans="1:16">
      <c r="A24" s="11"/>
      <c r="B24" s="13">
        <v>1</v>
      </c>
      <c r="C24" s="14">
        <v>0.9</v>
      </c>
      <c r="D24" s="11"/>
    </row>
    <row r="25" spans="1:16">
      <c r="A25" s="11"/>
      <c r="B25" s="11"/>
      <c r="C25" s="14">
        <v>0.95</v>
      </c>
      <c r="D25" s="11"/>
    </row>
    <row r="26" spans="1:16">
      <c r="A26" s="11"/>
      <c r="B26" s="11"/>
      <c r="C26" s="14">
        <v>1</v>
      </c>
      <c r="D26" s="11"/>
    </row>
    <row r="27" spans="1:16">
      <c r="A27" s="11"/>
      <c r="B27" s="11"/>
      <c r="C27" s="11"/>
      <c r="D27" s="11"/>
    </row>
    <row r="32" spans="1:16">
      <c r="A32" s="18" t="s">
        <v>127</v>
      </c>
    </row>
    <row r="33" spans="1:1">
      <c r="A33" t="s">
        <v>121</v>
      </c>
    </row>
    <row r="34" spans="1:1">
      <c r="A34" t="s">
        <v>128</v>
      </c>
    </row>
    <row r="35" spans="1:1">
      <c r="A35" t="s">
        <v>129</v>
      </c>
    </row>
    <row r="36" spans="1:1">
      <c r="A36" t="s">
        <v>130</v>
      </c>
    </row>
    <row r="37" spans="1:1">
      <c r="A37" t="s">
        <v>131</v>
      </c>
    </row>
    <row r="38" spans="1:1">
      <c r="A38" t="s">
        <v>132</v>
      </c>
    </row>
    <row r="39" spans="1:1">
      <c r="A39" s="18" t="s">
        <v>133</v>
      </c>
    </row>
    <row r="40" spans="1:1">
      <c r="A40" t="s">
        <v>134</v>
      </c>
    </row>
    <row r="41" spans="1:1">
      <c r="A41" t="s">
        <v>135</v>
      </c>
    </row>
    <row r="42" spans="1:1">
      <c r="A42" s="53" t="s">
        <v>136</v>
      </c>
    </row>
    <row r="43" spans="1:1">
      <c r="A43" t="s">
        <v>123</v>
      </c>
    </row>
    <row r="44" spans="1:1">
      <c r="A44" t="s">
        <v>137</v>
      </c>
    </row>
    <row r="45" spans="1:1">
      <c r="A45" t="s">
        <v>138</v>
      </c>
    </row>
    <row r="46" spans="1:1">
      <c r="A46" t="s">
        <v>130</v>
      </c>
    </row>
    <row r="47" spans="1:1">
      <c r="A47" t="s">
        <v>131</v>
      </c>
    </row>
    <row r="48" spans="1:1">
      <c r="A48" t="s">
        <v>139</v>
      </c>
    </row>
    <row r="49" spans="1:1">
      <c r="A49" s="18" t="s">
        <v>140</v>
      </c>
    </row>
    <row r="50" spans="1:1">
      <c r="A50" t="s">
        <v>134</v>
      </c>
    </row>
    <row r="51" spans="1:1">
      <c r="A51" s="53" t="s">
        <v>141</v>
      </c>
    </row>
    <row r="52" spans="1:1">
      <c r="A52" t="s">
        <v>125</v>
      </c>
    </row>
    <row r="53" spans="1:1">
      <c r="A53" t="s">
        <v>142</v>
      </c>
    </row>
    <row r="54" spans="1:1">
      <c r="A54" t="s">
        <v>130</v>
      </c>
    </row>
    <row r="55" spans="1:1">
      <c r="A55" t="s">
        <v>131</v>
      </c>
    </row>
    <row r="56" spans="1:1">
      <c r="A56" t="s">
        <v>143</v>
      </c>
    </row>
    <row r="57" spans="1:1">
      <c r="A57" s="18" t="s">
        <v>144</v>
      </c>
    </row>
  </sheetData>
  <sheetProtection password="CC7F" sheet="1" objects="1" scenarios="1"/>
  <mergeCells count="7">
    <mergeCell ref="O4:R4"/>
    <mergeCell ref="I20:J20"/>
    <mergeCell ref="B4:D4"/>
    <mergeCell ref="J4:M4"/>
    <mergeCell ref="I19:J19"/>
    <mergeCell ref="I17:J17"/>
    <mergeCell ref="I18:J18"/>
  </mergeCells>
  <pageMargins left="0.75" right="0.75" top="1" bottom="1" header="0" footer="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pageSetUpPr fitToPage="1"/>
  </sheetPr>
  <dimension ref="A3:AG29"/>
  <sheetViews>
    <sheetView showGridLines="0" zoomScale="70" workbookViewId="0"/>
  </sheetViews>
  <sheetFormatPr baseColWidth="10" defaultColWidth="10.88671875" defaultRowHeight="13.2"/>
  <cols>
    <col min="1" max="1" width="6.44140625" bestFit="1" customWidth="1"/>
    <col min="2" max="2" width="28.44140625" customWidth="1"/>
    <col min="3" max="3" width="5.44140625" hidden="1" customWidth="1"/>
    <col min="4" max="4" width="9.44140625" customWidth="1"/>
    <col min="5" max="5" width="5.44140625" hidden="1" customWidth="1"/>
    <col min="6" max="6" width="10" customWidth="1"/>
    <col min="7" max="8" width="8.44140625" bestFit="1" customWidth="1"/>
    <col min="9" max="15" width="5.44140625" hidden="1" customWidth="1"/>
    <col min="16" max="16" width="16.88671875" customWidth="1"/>
    <col min="17" max="17" width="5.44140625" hidden="1" customWidth="1"/>
    <col min="18" max="18" width="8.44140625" customWidth="1"/>
    <col min="19" max="19" width="15.44140625" customWidth="1"/>
    <col min="20" max="20" width="7.44140625" bestFit="1" customWidth="1"/>
    <col min="21" max="21" width="6.44140625" customWidth="1"/>
    <col min="22" max="23" width="8.109375" customWidth="1"/>
    <col min="24" max="24" width="6" bestFit="1" customWidth="1"/>
    <col min="25" max="26" width="5.44140625" hidden="1" customWidth="1"/>
    <col min="27" max="27" width="12" customWidth="1"/>
    <col min="28" max="28" width="7.109375" bestFit="1" customWidth="1"/>
    <col min="29" max="29" width="9.44140625" bestFit="1" customWidth="1"/>
    <col min="30" max="30" width="6.44140625" bestFit="1" customWidth="1"/>
    <col min="31" max="31" width="7.109375" bestFit="1" customWidth="1"/>
    <col min="32" max="32" width="9.44140625" customWidth="1"/>
    <col min="33" max="33" width="6.44140625" bestFit="1" customWidth="1"/>
    <col min="34" max="256" width="9.109375" customWidth="1"/>
  </cols>
  <sheetData>
    <row r="3" spans="1:33">
      <c r="B3" s="388"/>
      <c r="C3" s="3"/>
      <c r="D3" s="388"/>
      <c r="E3" s="2"/>
      <c r="F3" s="389"/>
      <c r="G3" s="5"/>
      <c r="H3" s="396"/>
      <c r="I3" s="4"/>
      <c r="J3" s="4"/>
      <c r="K3" s="4"/>
      <c r="L3" s="4"/>
      <c r="M3" s="4"/>
      <c r="N3" s="4"/>
      <c r="O3" s="4"/>
      <c r="T3" s="3"/>
    </row>
    <row r="4" spans="1:33">
      <c r="A4" s="1"/>
      <c r="B4" s="375"/>
      <c r="C4" s="3"/>
      <c r="D4" s="375"/>
      <c r="E4" s="2"/>
      <c r="F4" s="375"/>
      <c r="G4" s="5"/>
      <c r="H4" s="375"/>
      <c r="I4" s="4"/>
      <c r="J4" s="4"/>
      <c r="K4" s="4"/>
      <c r="L4" s="4"/>
      <c r="M4" s="4"/>
      <c r="N4" s="4"/>
      <c r="O4" s="4"/>
      <c r="T4" s="3"/>
    </row>
    <row r="7" spans="1:33" ht="15.6" customHeight="1">
      <c r="A7" s="386" t="s">
        <v>145</v>
      </c>
      <c r="B7" s="387"/>
      <c r="C7" s="387"/>
      <c r="D7" s="387"/>
      <c r="E7" s="387"/>
      <c r="F7" s="387"/>
      <c r="G7" s="387"/>
      <c r="H7" s="387"/>
      <c r="I7" s="387"/>
      <c r="J7" s="387"/>
      <c r="K7" s="387"/>
      <c r="L7" s="387"/>
      <c r="M7" s="387"/>
      <c r="N7" s="387"/>
      <c r="O7" s="387"/>
      <c r="P7" s="387"/>
      <c r="Q7" s="387"/>
      <c r="R7" s="387"/>
      <c r="S7" s="387"/>
      <c r="T7" s="387"/>
      <c r="U7" s="387"/>
      <c r="V7" s="387"/>
      <c r="W7" s="387"/>
      <c r="X7" s="387"/>
      <c r="Y7" s="387"/>
      <c r="Z7" s="387"/>
      <c r="AA7" s="387"/>
    </row>
    <row r="8" spans="1:33" s="9" customFormat="1" ht="24.75" customHeight="1">
      <c r="A8" s="397" t="s">
        <v>146</v>
      </c>
      <c r="B8" s="394" t="s">
        <v>116</v>
      </c>
      <c r="C8" s="390" t="s">
        <v>147</v>
      </c>
      <c r="D8" s="391"/>
      <c r="E8" s="391"/>
      <c r="F8" s="391"/>
      <c r="G8" s="391"/>
      <c r="H8" s="391"/>
      <c r="I8" s="391"/>
      <c r="J8" s="391"/>
      <c r="K8" s="391"/>
      <c r="L8" s="391"/>
      <c r="M8" s="391"/>
      <c r="N8" s="391"/>
      <c r="O8" s="391"/>
      <c r="P8" s="391"/>
      <c r="Q8" s="391"/>
      <c r="R8" s="392"/>
      <c r="S8" s="385" t="s">
        <v>148</v>
      </c>
      <c r="T8" s="393"/>
      <c r="U8" s="381" t="s">
        <v>149</v>
      </c>
      <c r="V8" s="382"/>
      <c r="W8" s="382"/>
      <c r="X8" s="385" t="s">
        <v>150</v>
      </c>
      <c r="Y8" s="382"/>
      <c r="Z8" s="382"/>
      <c r="AA8" s="398"/>
      <c r="AB8" s="385" t="s">
        <v>151</v>
      </c>
      <c r="AC8" s="382"/>
      <c r="AD8" s="398"/>
      <c r="AE8" s="385" t="s">
        <v>85</v>
      </c>
      <c r="AF8" s="382"/>
      <c r="AG8" s="398"/>
    </row>
    <row r="9" spans="1:33" s="9" customFormat="1" ht="20.25" customHeight="1">
      <c r="A9" s="364"/>
      <c r="B9" s="364"/>
      <c r="C9" s="20"/>
      <c r="D9" s="385" t="s">
        <v>152</v>
      </c>
      <c r="E9" s="20"/>
      <c r="F9" s="385"/>
      <c r="G9" s="380"/>
      <c r="H9" s="393"/>
      <c r="I9" s="49"/>
      <c r="J9" s="49"/>
      <c r="K9" s="49"/>
      <c r="L9" s="20"/>
      <c r="M9" s="20"/>
      <c r="N9" s="20"/>
      <c r="O9" s="385" t="s">
        <v>153</v>
      </c>
      <c r="P9" s="385" t="s">
        <v>153</v>
      </c>
      <c r="Q9" s="20"/>
      <c r="R9" s="385" t="s">
        <v>154</v>
      </c>
      <c r="S9" s="385" t="s">
        <v>155</v>
      </c>
      <c r="T9" s="385" t="s">
        <v>156</v>
      </c>
      <c r="U9" s="383"/>
      <c r="V9" s="384"/>
      <c r="W9" s="384"/>
      <c r="X9" s="399"/>
      <c r="Y9" s="387"/>
      <c r="Z9" s="387"/>
      <c r="AA9" s="400"/>
      <c r="AB9" s="399"/>
      <c r="AC9" s="387"/>
      <c r="AD9" s="400"/>
      <c r="AE9" s="399"/>
      <c r="AF9" s="387"/>
      <c r="AG9" s="400"/>
    </row>
    <row r="10" spans="1:33" s="9" customFormat="1" ht="26.4" customHeight="1">
      <c r="A10" s="364"/>
      <c r="B10" s="364"/>
      <c r="C10" s="20"/>
      <c r="D10" s="365"/>
      <c r="E10" s="20"/>
      <c r="F10" s="385" t="s">
        <v>157</v>
      </c>
      <c r="G10" s="385" t="s">
        <v>158</v>
      </c>
      <c r="H10" s="385" t="s">
        <v>159</v>
      </c>
      <c r="I10" s="20"/>
      <c r="J10" s="20"/>
      <c r="K10" s="20"/>
      <c r="L10" s="20"/>
      <c r="M10" s="20"/>
      <c r="N10" s="20"/>
      <c r="O10" s="365"/>
      <c r="P10" s="365"/>
      <c r="Q10" s="20"/>
      <c r="R10" s="365"/>
      <c r="S10" s="365"/>
      <c r="T10" s="365"/>
      <c r="U10" s="20" t="s">
        <v>88</v>
      </c>
      <c r="V10" s="20" t="s">
        <v>89</v>
      </c>
      <c r="W10" s="20" t="s">
        <v>90</v>
      </c>
      <c r="X10" s="20" t="s">
        <v>160</v>
      </c>
      <c r="Y10" s="20" t="s">
        <v>91</v>
      </c>
      <c r="Z10" s="20" t="s">
        <v>92</v>
      </c>
      <c r="AA10" s="20" t="s">
        <v>161</v>
      </c>
      <c r="AB10" s="20" t="s">
        <v>156</v>
      </c>
      <c r="AC10" s="20" t="s">
        <v>87</v>
      </c>
      <c r="AD10" s="20" t="s">
        <v>162</v>
      </c>
      <c r="AE10" s="20" t="s">
        <v>156</v>
      </c>
      <c r="AF10" s="20" t="s">
        <v>87</v>
      </c>
      <c r="AG10" s="20" t="s">
        <v>162</v>
      </c>
    </row>
    <row r="11" spans="1:33" s="9" customFormat="1" ht="22.5" customHeight="1">
      <c r="A11" s="365"/>
      <c r="B11" s="365"/>
      <c r="C11" s="22"/>
      <c r="D11" s="20" t="s">
        <v>163</v>
      </c>
      <c r="E11" s="20"/>
      <c r="F11" s="365"/>
      <c r="G11" s="365"/>
      <c r="H11" s="365"/>
      <c r="I11" s="20"/>
      <c r="J11" s="20"/>
      <c r="K11" s="20"/>
      <c r="L11" s="20"/>
      <c r="M11" s="20"/>
      <c r="N11" s="20"/>
      <c r="O11" s="20" t="s">
        <v>164</v>
      </c>
      <c r="P11" s="20" t="s">
        <v>164</v>
      </c>
      <c r="Q11" s="20"/>
      <c r="R11" s="20"/>
      <c r="S11" s="20" t="s">
        <v>87</v>
      </c>
      <c r="T11" s="22" t="s">
        <v>165</v>
      </c>
      <c r="U11" s="379" t="s">
        <v>166</v>
      </c>
      <c r="V11" s="380"/>
      <c r="W11" s="380"/>
      <c r="X11" s="20" t="s">
        <v>166</v>
      </c>
      <c r="Y11" s="35"/>
      <c r="Z11" s="35"/>
      <c r="AA11" s="20" t="s">
        <v>167</v>
      </c>
      <c r="AB11" s="20" t="s">
        <v>165</v>
      </c>
      <c r="AC11" s="20"/>
      <c r="AD11" s="20" t="s">
        <v>168</v>
      </c>
      <c r="AE11" s="20" t="s">
        <v>165</v>
      </c>
      <c r="AF11" s="20"/>
      <c r="AG11" s="20" t="s">
        <v>168</v>
      </c>
    </row>
    <row r="12" spans="1:33" s="9" customFormat="1" ht="19.5" customHeight="1">
      <c r="V12" s="46"/>
      <c r="W12" s="46"/>
      <c r="X12" s="46"/>
      <c r="Y12" s="55"/>
      <c r="Z12" s="55"/>
      <c r="AA12" s="46"/>
      <c r="AB12" s="46"/>
      <c r="AC12" s="46"/>
      <c r="AD12" s="46"/>
      <c r="AE12" s="46"/>
      <c r="AF12" s="46"/>
      <c r="AG12" s="46"/>
    </row>
    <row r="13" spans="1:33" s="9" customFormat="1" ht="30" customHeight="1">
      <c r="A13" s="23">
        <v>1</v>
      </c>
      <c r="B13" s="24" t="s">
        <v>169</v>
      </c>
      <c r="C13" s="25">
        <f>IF(D13=1,0,IF(D13=2,440,IF(D13=3,220,127)))</f>
        <v>127</v>
      </c>
      <c r="D13" s="26">
        <v>4</v>
      </c>
      <c r="E13" s="27">
        <f>IF(F13=1,0.7,IF(F13=2,0.75,IF(F13=3,0.8,IF(F13=4,0.85,IF(F13=5,0.9,IF(F13=6,0.95,IF(F13=7,1,0)))))))</f>
        <v>0.8</v>
      </c>
      <c r="F13" s="28">
        <v>3</v>
      </c>
      <c r="G13" s="36">
        <v>750</v>
      </c>
      <c r="H13" s="37"/>
      <c r="I13" s="37"/>
      <c r="J13" s="37"/>
      <c r="K13" s="37"/>
      <c r="L13" s="29">
        <f>G13*1000/(SQRT(Q13)*C13)</f>
        <v>3409.5488337970028</v>
      </c>
      <c r="M13" s="29">
        <f>H13*1000/(SQRT(Q13)*C13*E13)</f>
        <v>0</v>
      </c>
      <c r="N13" s="29"/>
      <c r="O13" s="173">
        <f>IF(G13&gt;0,L13,M13)/T13</f>
        <v>3409.5488337970028</v>
      </c>
      <c r="P13" s="30">
        <f>IF(G13&gt;0,L13,M13)</f>
        <v>3409.5488337970028</v>
      </c>
      <c r="Q13" s="31">
        <f>IF(R13=4,3,1)</f>
        <v>3</v>
      </c>
      <c r="R13" s="73">
        <v>4</v>
      </c>
      <c r="S13" s="77" t="str">
        <f>IF(O13=0," ",IF(O13=0,0,VLOOKUP(O13,ELECTRODO,3)))</f>
        <v>TG-5000K</v>
      </c>
      <c r="T13" s="74">
        <v>1</v>
      </c>
      <c r="U13" s="65">
        <f>IF(O13=0," ",IF(O13=0,0,VLOOKUP(O13,EXCAVACION,4)))</f>
        <v>3.5</v>
      </c>
      <c r="V13" s="66">
        <f>IF(O13=0," ",IF(O13=0,0,VLOOKUP(O13,EXCAVACION,5)))</f>
        <v>2</v>
      </c>
      <c r="W13" s="67">
        <f>IF(O13=0," ",IF(O13=0,0,VLOOKUP(O13,EXCAVACION,6)))</f>
        <v>2</v>
      </c>
      <c r="X13" s="38">
        <v>29</v>
      </c>
      <c r="Y13" s="39">
        <f>IF(X13=0," ",IF(X13&gt;=30," ",VLOOKUP(O13,CALIBRE,7)))</f>
        <v>0</v>
      </c>
      <c r="Z13" s="39" t="str">
        <f>IF(X13&lt;30," ",IF(X13&lt;30," ",VLOOKUP(O13,CALIBRE,8)))</f>
        <v xml:space="preserve"> </v>
      </c>
      <c r="AA13" s="40">
        <f>IF(X13&gt;=30,Z13,Y13)</f>
        <v>0</v>
      </c>
      <c r="AB13" s="56">
        <v>0</v>
      </c>
      <c r="AC13" s="57" t="str">
        <f>IF(AB13=0," ",VLOOKUP(O13/AB13,ACOPLADOR,3))</f>
        <v xml:space="preserve"> </v>
      </c>
      <c r="AD13" s="58" t="str">
        <f>IF(AB13=0," ",VLOOKUP(O13/AB13,ACOPLADOR,2))</f>
        <v xml:space="preserve"> </v>
      </c>
      <c r="AE13" s="56">
        <v>0</v>
      </c>
      <c r="AF13" s="57" t="str">
        <f>IF(AE13=0," ",VLOOKUP(O13/AE13,BARRA,3))</f>
        <v xml:space="preserve"> </v>
      </c>
      <c r="AG13" s="58" t="str">
        <f>IF(AE13=0," ",VLOOKUP(O13/AE13,BARRA,2))</f>
        <v xml:space="preserve"> </v>
      </c>
    </row>
    <row r="14" spans="1:33" s="9" customFormat="1" ht="30" customHeight="1">
      <c r="A14" s="23">
        <v>2</v>
      </c>
      <c r="B14" s="24" t="s">
        <v>170</v>
      </c>
      <c r="C14" s="25">
        <f>IF(D14=1,0,IF(D14=2,440,IF(D14=3,220,127)))</f>
        <v>220</v>
      </c>
      <c r="D14" s="26">
        <v>3</v>
      </c>
      <c r="E14" s="27">
        <f>IF(F14=1,0.7,IF(F14=2,0.75,IF(F14=3,0.8,IF(F14=4,0.85,IF(F14=5,0.9,IF(F14=6,0.95,IF(F14=7,1,0)))))))</f>
        <v>0.9</v>
      </c>
      <c r="F14" s="28">
        <v>5</v>
      </c>
      <c r="G14" s="36"/>
      <c r="H14" s="37">
        <v>50</v>
      </c>
      <c r="I14" s="37"/>
      <c r="J14" s="37"/>
      <c r="K14" s="37"/>
      <c r="L14" s="29">
        <f>G14*1000/(SQRT(Q14)*C14)</f>
        <v>0</v>
      </c>
      <c r="M14" s="29">
        <f>H14*1000/(SQRT(Q14)*C14*E14)</f>
        <v>145.79552252263275</v>
      </c>
      <c r="N14" s="29"/>
      <c r="O14" s="173">
        <f>IF(G14&gt;0,L14,M14)/T14</f>
        <v>145.79552252263275</v>
      </c>
      <c r="P14" s="30">
        <f>IF(G14&gt;0,L14,M14)</f>
        <v>145.79552252263275</v>
      </c>
      <c r="Q14" s="31">
        <f>IF(R14=4,3,1)</f>
        <v>3</v>
      </c>
      <c r="R14" s="73">
        <v>4</v>
      </c>
      <c r="S14" s="78" t="str">
        <f>IF(O14=0," ",IF(O14=0,0,VLOOKUP(O14,ELECTRODO,3)))</f>
        <v>TG-100K</v>
      </c>
      <c r="T14" s="75">
        <v>1</v>
      </c>
      <c r="U14" s="68">
        <f>IF(O14=0," ",IF(O14=0,0,VLOOKUP(O14,EXCAVACION,4)))</f>
        <v>1.05</v>
      </c>
      <c r="V14" s="54">
        <f>IF(O14=0," ",IF(O14=0,0,VLOOKUP(O14,EXCAVACION,5)))</f>
        <v>0.4</v>
      </c>
      <c r="W14" s="69">
        <f>IF(O14=0," ",IF(O14=0,0,VLOOKUP(O14,EXCAVACION,6)))</f>
        <v>0.4</v>
      </c>
      <c r="X14" s="41">
        <v>30</v>
      </c>
      <c r="Y14" s="33" t="str">
        <f>IF(X14=0," ",IF(X14&gt;=30," ",VLOOKUP(O14,CALIBRE,7)))</f>
        <v xml:space="preserve"> </v>
      </c>
      <c r="Z14" s="33">
        <f>IF(X14&lt;30," ",IF(X14&lt;30," ",VLOOKUP(O14,CALIBRE,8)))</f>
        <v>2</v>
      </c>
      <c r="AA14" s="42">
        <f>IF(X14&gt;=30,Z14,Y14)</f>
        <v>2</v>
      </c>
      <c r="AB14" s="59">
        <v>1</v>
      </c>
      <c r="AC14" s="60" t="str">
        <f>IF(AB14=0," ",VLOOKUP(O14/AB14,ACOPLADOR,3))</f>
        <v>TGC01</v>
      </c>
      <c r="AD14" s="61">
        <f>IF(AB14=0," ",VLOOKUP(O14/AB14,ACOPLADOR,2))</f>
        <v>950</v>
      </c>
      <c r="AE14" s="59">
        <v>0</v>
      </c>
      <c r="AF14" s="60" t="str">
        <f>IF(AE14=0," ",VLOOKUP(O14/AE14,BARRA,3))</f>
        <v xml:space="preserve"> </v>
      </c>
      <c r="AG14" s="61" t="str">
        <f>IF(AE14=0," ",VLOOKUP(O14/AE14,BARRA,2))</f>
        <v xml:space="preserve"> </v>
      </c>
    </row>
    <row r="15" spans="1:33" s="9" customFormat="1" ht="30" customHeight="1">
      <c r="A15" s="23">
        <v>3</v>
      </c>
      <c r="B15" s="24" t="s">
        <v>170</v>
      </c>
      <c r="C15" s="25">
        <f>IF(D15=1,0,IF(D15=2,440,IF(D15=3,220,127)))</f>
        <v>220</v>
      </c>
      <c r="D15" s="26">
        <v>3</v>
      </c>
      <c r="E15" s="27">
        <f>IF(F15=1,0.7,IF(F15=2,0.75,IF(F15=3,0.8,IF(F15=4,0.85,IF(F15=5,0.9,IF(F15=6,0.95,IF(F15=7,1,0)))))))</f>
        <v>0.9</v>
      </c>
      <c r="F15" s="28">
        <v>5</v>
      </c>
      <c r="G15" s="36"/>
      <c r="H15" s="37">
        <v>10</v>
      </c>
      <c r="I15" s="37"/>
      <c r="J15" s="37"/>
      <c r="K15" s="37"/>
      <c r="L15" s="29">
        <f>G15*1000/(SQRT(Q15)*C15)</f>
        <v>0</v>
      </c>
      <c r="M15" s="29">
        <f>H15*1000/(SQRT(Q15)*C15*E15)</f>
        <v>29.159104504526553</v>
      </c>
      <c r="N15" s="29"/>
      <c r="O15" s="173">
        <f>IF(G15&gt;0,L15,M15)/T15</f>
        <v>29.159104504526553</v>
      </c>
      <c r="P15" s="30">
        <f>IF(G15&gt;0,L15,M15)</f>
        <v>29.159104504526553</v>
      </c>
      <c r="Q15" s="31">
        <f>IF(R15=4,3,1)</f>
        <v>3</v>
      </c>
      <c r="R15" s="73">
        <v>4</v>
      </c>
      <c r="S15" s="78" t="str">
        <f>IF(O15=0," ",IF(O15=0,0,VLOOKUP(O15,ELECTRODO,3)))</f>
        <v>TG-45K</v>
      </c>
      <c r="T15" s="75">
        <v>1</v>
      </c>
      <c r="U15" s="68">
        <f>IF(O15=0," ",IF(O15=0,0,VLOOKUP(O15,EXCAVACION,4)))</f>
        <v>0.8</v>
      </c>
      <c r="V15" s="54">
        <f>IF(O15=0," ",IF(O15=0,0,VLOOKUP(O15,EXCAVACION,5)))</f>
        <v>0.3</v>
      </c>
      <c r="W15" s="69">
        <f>IF(O15=0," ",IF(O15=0,0,VLOOKUP(O15,EXCAVACION,6)))</f>
        <v>0.3</v>
      </c>
      <c r="X15" s="41">
        <v>31</v>
      </c>
      <c r="Y15" s="33" t="str">
        <f>IF(X15=0," ",IF(X15&gt;=30," ",VLOOKUP(O15,CALIBRE,7)))</f>
        <v xml:space="preserve"> </v>
      </c>
      <c r="Z15" s="33">
        <f>IF(X15&lt;30," ",IF(X15&lt;30," ",VLOOKUP(O15,CALIBRE,8)))</f>
        <v>2</v>
      </c>
      <c r="AA15" s="42">
        <f>IF(X15&gt;=30,Z15,Y15)</f>
        <v>2</v>
      </c>
      <c r="AB15" s="59">
        <v>0</v>
      </c>
      <c r="AC15" s="60" t="str">
        <f>IF(AB15=0," ",VLOOKUP(O15/AB15,ACOPLADOR,3))</f>
        <v xml:space="preserve"> </v>
      </c>
      <c r="AD15" s="61" t="str">
        <f>IF(AB15=0," ",VLOOKUP(O15/AB15,ACOPLADOR,2))</f>
        <v xml:space="preserve"> </v>
      </c>
      <c r="AE15" s="59">
        <v>0</v>
      </c>
      <c r="AF15" s="60" t="str">
        <f>IF(AE15=0," ",VLOOKUP(O15/AE15,BARRA,3))</f>
        <v xml:space="preserve"> </v>
      </c>
      <c r="AG15" s="61" t="str">
        <f>IF(AE15=0," ",VLOOKUP(O15/AE15,BARRA,2))</f>
        <v xml:space="preserve"> </v>
      </c>
    </row>
    <row r="16" spans="1:33" s="9" customFormat="1" ht="30" customHeight="1">
      <c r="A16" s="23">
        <v>4</v>
      </c>
      <c r="B16" s="24" t="s">
        <v>171</v>
      </c>
      <c r="C16" s="25">
        <f>IF(D16=1,0,IF(D16=2,440,IF(D16=3,220,127)))</f>
        <v>220</v>
      </c>
      <c r="D16" s="26">
        <v>3</v>
      </c>
      <c r="E16" s="27">
        <f>IF(F16=1,0.7,IF(F16=2,0.75,IF(F16=3,0.8,IF(F16=4,0.85,IF(F16=5,0.9,IF(F16=6,0.95,IF(F16=7,1,0)))))))</f>
        <v>1</v>
      </c>
      <c r="F16" s="28">
        <v>7</v>
      </c>
      <c r="G16" s="36">
        <v>15</v>
      </c>
      <c r="H16" s="37"/>
      <c r="I16" s="37"/>
      <c r="J16" s="37"/>
      <c r="K16" s="37"/>
      <c r="L16" s="29">
        <f>G16*1000/(SQRT(Q16)*C16)</f>
        <v>68.181818181818187</v>
      </c>
      <c r="M16" s="29">
        <f>H16*1000/(SQRT(Q16)*C16*E16)</f>
        <v>0</v>
      </c>
      <c r="N16" s="29"/>
      <c r="O16" s="173">
        <f>IF(G16&gt;0,L16,M16)/T16</f>
        <v>68.181818181818187</v>
      </c>
      <c r="P16" s="30">
        <f>IF(G16&gt;0,L16,M16)</f>
        <v>68.181818181818187</v>
      </c>
      <c r="Q16" s="31">
        <f>IF(R16=4,3,1)</f>
        <v>1</v>
      </c>
      <c r="R16" s="73">
        <v>3</v>
      </c>
      <c r="S16" s="78" t="str">
        <f>IF(O16=0," ",IF(O16=0,0,VLOOKUP(O16,ELECTRODO,3)))</f>
        <v>TG-45K</v>
      </c>
      <c r="T16" s="75">
        <v>1</v>
      </c>
      <c r="U16" s="68">
        <f>IF(O16=0," ",IF(O16=0,0,VLOOKUP(O16,EXCAVACION,4)))</f>
        <v>0.8</v>
      </c>
      <c r="V16" s="54">
        <f>IF(O16=0," ",IF(O16=0,0,VLOOKUP(O16,EXCAVACION,5)))</f>
        <v>0.3</v>
      </c>
      <c r="W16" s="69">
        <f>IF(O16=0," ",IF(O16=0,0,VLOOKUP(O16,EXCAVACION,6)))</f>
        <v>0.3</v>
      </c>
      <c r="X16" s="41">
        <v>32</v>
      </c>
      <c r="Y16" s="33" t="str">
        <f>IF(X16=0," ",IF(X16&gt;=30," ",VLOOKUP(O16,CALIBRE,7)))</f>
        <v xml:space="preserve"> </v>
      </c>
      <c r="Z16" s="33">
        <f>IF(X16&lt;30," ",IF(X16&lt;30," ",VLOOKUP(O16,CALIBRE,8)))</f>
        <v>2</v>
      </c>
      <c r="AA16" s="42">
        <f>IF(X16&gt;=30,Z16,Y16)</f>
        <v>2</v>
      </c>
      <c r="AB16" s="59">
        <v>0</v>
      </c>
      <c r="AC16" s="60" t="str">
        <f>IF(AB16=0," ",VLOOKUP(O16/AB16,ACOPLADOR,3))</f>
        <v xml:space="preserve"> </v>
      </c>
      <c r="AD16" s="61" t="str">
        <f>IF(AB16=0," ",VLOOKUP(O16/AB16,ACOPLADOR,2))</f>
        <v xml:space="preserve"> </v>
      </c>
      <c r="AE16" s="59">
        <v>0</v>
      </c>
      <c r="AF16" s="60" t="str">
        <f>IF(AE16=0," ",VLOOKUP(O16/AE16,BARRA,3))</f>
        <v xml:space="preserve"> </v>
      </c>
      <c r="AG16" s="61" t="str">
        <f>IF(AE16=0," ",VLOOKUP(O16/AE16,BARRA,2))</f>
        <v xml:space="preserve"> </v>
      </c>
    </row>
    <row r="17" spans="1:33" s="9" customFormat="1" ht="30" customHeight="1">
      <c r="A17" s="23">
        <v>5</v>
      </c>
      <c r="B17" s="24" t="s">
        <v>169</v>
      </c>
      <c r="C17" s="25">
        <f>IF(D17=1,0,IF(D17=2,440,IF(D17=3,220,127)))</f>
        <v>440</v>
      </c>
      <c r="D17" s="26">
        <v>2</v>
      </c>
      <c r="E17" s="27">
        <f>IF(F17=1,0.7,IF(F17=2,0.75,IF(F17=3,0.8,IF(F17=4,0.85,IF(F17=5,0.9,IF(F17=6,0.95,IF(F17=7,1,0)))))))</f>
        <v>1</v>
      </c>
      <c r="F17" s="28">
        <v>7</v>
      </c>
      <c r="G17" s="36">
        <v>5000</v>
      </c>
      <c r="H17" s="37"/>
      <c r="I17" s="37"/>
      <c r="J17" s="37"/>
      <c r="K17" s="37"/>
      <c r="L17" s="29">
        <f>G17*1000/(SQRT(Q17)*C17)</f>
        <v>6560.7985135184754</v>
      </c>
      <c r="M17" s="29">
        <f>H17*1000/(SQRT(Q17)*C17*E17)</f>
        <v>0</v>
      </c>
      <c r="N17" s="29"/>
      <c r="O17" s="173">
        <f>IF(G17&gt;0,L17,M17)/T17</f>
        <v>2186.9328378394916</v>
      </c>
      <c r="P17" s="30">
        <f>IF(G17&gt;0,L17,M17)</f>
        <v>6560.7985135184754</v>
      </c>
      <c r="Q17" s="31">
        <f>IF(R17=4,3,1)</f>
        <v>3</v>
      </c>
      <c r="R17" s="73">
        <v>4</v>
      </c>
      <c r="S17" s="79" t="str">
        <f>IF(O17=0," ",IF(O17=0,0,VLOOKUP(O17,ELECTRODO,3)))</f>
        <v>TG-2500K</v>
      </c>
      <c r="T17" s="76">
        <v>3</v>
      </c>
      <c r="U17" s="70">
        <f>IF(O17=0," ",IF(O17=0,0,VLOOKUP(O17,EXCAVACION,4)))</f>
        <v>3.1</v>
      </c>
      <c r="V17" s="71">
        <f>IF(O17=0," ",IF(O17=0,0,VLOOKUP(O17,EXCAVACION,5)))</f>
        <v>2</v>
      </c>
      <c r="W17" s="72">
        <f>IF(O17=0," ",IF(O17=0,0,VLOOKUP(O17,EXCAVACION,6)))</f>
        <v>2</v>
      </c>
      <c r="X17" s="43">
        <v>33</v>
      </c>
      <c r="Y17" s="44" t="str">
        <f>IF(X17=0," ",IF(X17&gt;=30," ",VLOOKUP(O17,CALIBRE,7)))</f>
        <v xml:space="preserve"> </v>
      </c>
      <c r="Z17" s="44">
        <f>IF(X17&lt;30," ",IF(X17&lt;30," ",VLOOKUP(O17,CALIBRE,8)))</f>
        <v>250</v>
      </c>
      <c r="AA17" s="45">
        <f>IF(X17&gt;=30,Z17,Y17)</f>
        <v>250</v>
      </c>
      <c r="AB17" s="62">
        <v>0</v>
      </c>
      <c r="AC17" s="63" t="str">
        <f>IF(AB17=0," ",VLOOKUP(O17/AB17,ACOPLADOR,3))</f>
        <v xml:space="preserve"> </v>
      </c>
      <c r="AD17" s="64" t="str">
        <f>IF(AB17=0," ",VLOOKUP(O17/AB17,ACOPLADOR,2))</f>
        <v xml:space="preserve"> </v>
      </c>
      <c r="AE17" s="62">
        <v>0</v>
      </c>
      <c r="AF17" s="63" t="str">
        <f>IF(AE17=0," ",VLOOKUP(O17/AE17,BARRA,3))</f>
        <v xml:space="preserve"> </v>
      </c>
      <c r="AG17" s="64" t="str">
        <f>IF(AE17=0," ",VLOOKUP(O17/AE17,BARRA,2))</f>
        <v xml:space="preserve"> </v>
      </c>
    </row>
    <row r="21" spans="1:33" ht="15.6" customHeight="1">
      <c r="A21" s="386" t="s">
        <v>172</v>
      </c>
      <c r="B21" s="387"/>
      <c r="C21" s="387"/>
      <c r="D21" s="387"/>
      <c r="E21" s="387"/>
      <c r="F21" s="387"/>
      <c r="G21" s="387"/>
      <c r="H21" s="387"/>
      <c r="I21" s="387"/>
      <c r="J21" s="387"/>
      <c r="K21" s="387"/>
      <c r="L21" s="387"/>
      <c r="M21" s="387"/>
      <c r="N21" s="387"/>
      <c r="O21" s="387"/>
      <c r="P21" s="387"/>
      <c r="Q21" s="387"/>
      <c r="R21" s="387"/>
      <c r="S21" s="387"/>
      <c r="T21" s="387"/>
      <c r="U21" s="387"/>
      <c r="V21" s="387"/>
      <c r="W21" s="387"/>
      <c r="X21" s="387"/>
      <c r="Y21" s="387"/>
      <c r="Z21" s="387"/>
      <c r="AA21" s="387"/>
    </row>
    <row r="22" spans="1:33" s="9" customFormat="1" ht="24.75" customHeight="1">
      <c r="A22" s="397" t="s">
        <v>146</v>
      </c>
      <c r="B22" s="394" t="s">
        <v>173</v>
      </c>
      <c r="C22" s="88" t="s">
        <v>147</v>
      </c>
      <c r="D22" s="385" t="s">
        <v>174</v>
      </c>
      <c r="E22" s="380"/>
      <c r="F22" s="380"/>
      <c r="G22" s="380"/>
      <c r="H22" s="380"/>
      <c r="I22" s="380"/>
      <c r="J22" s="380"/>
      <c r="K22" s="380"/>
      <c r="L22" s="380"/>
      <c r="M22" s="380"/>
      <c r="N22" s="380"/>
      <c r="O22" s="380"/>
      <c r="P22" s="393"/>
      <c r="Q22" s="89"/>
      <c r="R22" s="395" t="s">
        <v>148</v>
      </c>
      <c r="S22" s="380"/>
      <c r="T22" s="393"/>
      <c r="U22" s="381" t="s">
        <v>149</v>
      </c>
      <c r="V22" s="382"/>
      <c r="W22" s="382"/>
      <c r="X22" s="385" t="s">
        <v>175</v>
      </c>
      <c r="Y22" s="382"/>
      <c r="Z22" s="382"/>
      <c r="AA22" s="398"/>
      <c r="AB22" s="385" t="s">
        <v>151</v>
      </c>
      <c r="AC22" s="382"/>
      <c r="AD22" s="398"/>
      <c r="AE22" s="385" t="s">
        <v>85</v>
      </c>
      <c r="AF22" s="382"/>
      <c r="AG22" s="398"/>
    </row>
    <row r="23" spans="1:33" s="9" customFormat="1" ht="20.25" customHeight="1">
      <c r="A23" s="364"/>
      <c r="B23" s="364"/>
      <c r="C23" s="20"/>
      <c r="D23" s="385" t="s">
        <v>117</v>
      </c>
      <c r="E23" s="20"/>
      <c r="F23" s="385" t="s">
        <v>176</v>
      </c>
      <c r="G23" s="401" t="s">
        <v>177</v>
      </c>
      <c r="H23" s="398"/>
      <c r="I23" s="20"/>
      <c r="J23" s="20"/>
      <c r="K23" s="20"/>
      <c r="L23" s="20"/>
      <c r="M23" s="20"/>
      <c r="N23" s="10"/>
      <c r="O23" s="10"/>
      <c r="P23" s="385" t="s">
        <v>156</v>
      </c>
      <c r="Q23" s="20"/>
      <c r="R23" s="385" t="s">
        <v>86</v>
      </c>
      <c r="S23" s="385" t="s">
        <v>155</v>
      </c>
      <c r="T23" s="385" t="s">
        <v>156</v>
      </c>
      <c r="U23" s="383"/>
      <c r="V23" s="384"/>
      <c r="W23" s="384"/>
      <c r="X23" s="399"/>
      <c r="Y23" s="387"/>
      <c r="Z23" s="387"/>
      <c r="AA23" s="400"/>
      <c r="AB23" s="399"/>
      <c r="AC23" s="387"/>
      <c r="AD23" s="400"/>
      <c r="AE23" s="399"/>
      <c r="AF23" s="387"/>
      <c r="AG23" s="400"/>
    </row>
    <row r="24" spans="1:33" s="9" customFormat="1" ht="20.25" customHeight="1">
      <c r="A24" s="364"/>
      <c r="B24" s="364"/>
      <c r="C24" s="20"/>
      <c r="D24" s="365"/>
      <c r="E24" s="20"/>
      <c r="F24" s="365"/>
      <c r="G24" s="383"/>
      <c r="H24" s="402"/>
      <c r="I24" s="20"/>
      <c r="J24" s="20"/>
      <c r="K24" s="20"/>
      <c r="L24" s="20"/>
      <c r="M24" s="20"/>
      <c r="N24" s="86"/>
      <c r="O24" s="86"/>
      <c r="P24" s="365"/>
      <c r="Q24" s="20"/>
      <c r="R24" s="365"/>
      <c r="S24" s="365"/>
      <c r="T24" s="365"/>
      <c r="U24" s="20" t="s">
        <v>88</v>
      </c>
      <c r="V24" s="20" t="s">
        <v>89</v>
      </c>
      <c r="W24" s="8" t="s">
        <v>90</v>
      </c>
      <c r="X24" s="20" t="s">
        <v>160</v>
      </c>
      <c r="Y24" s="34" t="s">
        <v>178</v>
      </c>
      <c r="Z24" s="34" t="s">
        <v>91</v>
      </c>
      <c r="AA24" s="20" t="s">
        <v>161</v>
      </c>
      <c r="AB24" s="20" t="s">
        <v>156</v>
      </c>
      <c r="AC24" s="20" t="s">
        <v>87</v>
      </c>
      <c r="AD24" s="20" t="s">
        <v>162</v>
      </c>
      <c r="AE24" s="20" t="s">
        <v>156</v>
      </c>
      <c r="AF24" s="20" t="s">
        <v>87</v>
      </c>
      <c r="AG24" s="20" t="s">
        <v>162</v>
      </c>
    </row>
    <row r="25" spans="1:33" s="9" customFormat="1" ht="22.5" customHeight="1">
      <c r="A25" s="365"/>
      <c r="B25" s="365"/>
      <c r="C25" s="22"/>
      <c r="D25" s="20"/>
      <c r="E25" s="20"/>
      <c r="F25" s="87" t="s">
        <v>166</v>
      </c>
      <c r="G25" s="20" t="s">
        <v>179</v>
      </c>
      <c r="H25" s="20" t="s">
        <v>180</v>
      </c>
      <c r="I25" s="20" t="s">
        <v>181</v>
      </c>
      <c r="J25" s="20" t="s">
        <v>182</v>
      </c>
      <c r="K25" s="20" t="s">
        <v>181</v>
      </c>
      <c r="L25" s="20" t="s">
        <v>181</v>
      </c>
      <c r="M25" s="20" t="s">
        <v>183</v>
      </c>
      <c r="N25" s="20"/>
      <c r="O25" s="20"/>
      <c r="P25" s="20"/>
      <c r="Q25" s="20"/>
      <c r="R25" s="20"/>
      <c r="S25" s="20" t="s">
        <v>87</v>
      </c>
      <c r="T25" s="22"/>
      <c r="U25" s="379" t="s">
        <v>166</v>
      </c>
      <c r="V25" s="380"/>
      <c r="W25" s="380"/>
      <c r="X25" s="20" t="s">
        <v>166</v>
      </c>
      <c r="Y25" s="35"/>
      <c r="Z25" s="35"/>
      <c r="AA25" s="20" t="s">
        <v>167</v>
      </c>
      <c r="AB25" s="20" t="s">
        <v>165</v>
      </c>
      <c r="AC25" s="20"/>
      <c r="AD25" s="20" t="s">
        <v>168</v>
      </c>
      <c r="AE25" s="20" t="s">
        <v>165</v>
      </c>
      <c r="AF25" s="20"/>
      <c r="AG25" s="20" t="s">
        <v>168</v>
      </c>
    </row>
    <row r="26" spans="1:33" s="9" customFormat="1" ht="19.5" customHeight="1">
      <c r="V26" s="46"/>
      <c r="W26" s="46"/>
      <c r="X26" s="46"/>
      <c r="Y26" s="55"/>
      <c r="Z26" s="55"/>
      <c r="AA26" s="46"/>
      <c r="AB26" s="46"/>
      <c r="AC26" s="46"/>
      <c r="AD26" s="46"/>
      <c r="AE26" s="46"/>
      <c r="AF26" s="46"/>
      <c r="AG26" s="46"/>
    </row>
    <row r="27" spans="1:33" s="9" customFormat="1" ht="30" customHeight="1">
      <c r="A27" s="23">
        <v>1</v>
      </c>
      <c r="B27" s="80">
        <v>1</v>
      </c>
      <c r="C27" s="102">
        <f>IF(D27=1,0,IF(D27=2,440,IF(D27=3,220,127)))</f>
        <v>127</v>
      </c>
      <c r="D27" s="104" t="str">
        <f>IF(B27=1,Tablas!$K$18,IF(B27=2,Tablas!$K$19,IF(B27=3,Tablas!$K$20)))</f>
        <v>KDA 05</v>
      </c>
      <c r="E27" s="105"/>
      <c r="F27" s="106">
        <f>IF(B27=1,Tablas!$N$18,IF(B27=2,Tablas!$N$19,IF(B27=3,Tablas!$N$20)))</f>
        <v>150</v>
      </c>
      <c r="G27" s="107">
        <v>1</v>
      </c>
      <c r="H27" s="108">
        <v>1</v>
      </c>
      <c r="I27" s="109">
        <f>((G27/F27))</f>
        <v>6.6666666666666671E-3</v>
      </c>
      <c r="J27" s="110">
        <f>(((I27+(2*F27/7)/F27)))</f>
        <v>0.29238095238095235</v>
      </c>
      <c r="K27" s="111">
        <f>H27/F27</f>
        <v>6.6666666666666671E-3</v>
      </c>
      <c r="L27" s="111">
        <f>(((K27+(2*H27/7)/H27)))</f>
        <v>0.29238095238095235</v>
      </c>
      <c r="M27" s="112">
        <f>IF(L27&lt;0.5,1,L27)</f>
        <v>1</v>
      </c>
      <c r="N27" s="106">
        <f>J27*M27</f>
        <v>0.29238095238095235</v>
      </c>
      <c r="O27" s="170"/>
      <c r="P27" s="113">
        <f>CEILING(N27,1)</f>
        <v>1</v>
      </c>
      <c r="Q27" s="103"/>
      <c r="R27" s="90">
        <f>IF(B27=1,Tablas!$P$18,IF(B27=2,Tablas!$P$19,IF(B27=3,Tablas!$P$20)))</f>
        <v>1000</v>
      </c>
      <c r="S27" s="134" t="str">
        <f>IF(B27=1,Tablas!$M$18,IF(B27=2,Tablas!$M$19,IF(B27=3,Tablas!$M$20)))</f>
        <v>TG-1000K</v>
      </c>
      <c r="T27" s="137">
        <v>1</v>
      </c>
      <c r="U27" s="93">
        <f>IF(R27=0," ",IF(R27=0,0,VLOOKUP(R27*0.99,EXCAVACION,4)))</f>
        <v>2</v>
      </c>
      <c r="V27" s="94">
        <f>IF(R27=0," ",IF(R27=0,0,VLOOKUP(R27*0.99,EXCAVACION,5)))</f>
        <v>1.5</v>
      </c>
      <c r="W27" s="95">
        <f>IF(R27=0," ",IF(R27=0,0,VLOOKUP(R27*0.99,EXCAVACION,6)))</f>
        <v>1.5</v>
      </c>
      <c r="X27" s="38">
        <v>31</v>
      </c>
      <c r="Y27" s="39" t="str">
        <f>IF(X27=0," ",IF(X27&gt;=30," ",VLOOKUP(R27*0.99,CALIBRE,7)))</f>
        <v xml:space="preserve"> </v>
      </c>
      <c r="Z27" s="39">
        <f>IF(X27&lt;30," ",IF(X27&lt;30," ",VLOOKUP(R27*0.99,CALIBRE,8)))</f>
        <v>250</v>
      </c>
      <c r="AA27" s="40">
        <f>IF(X27&gt;=30,Z27,Y27)</f>
        <v>250</v>
      </c>
      <c r="AB27" s="56">
        <v>1</v>
      </c>
      <c r="AC27" s="57" t="str">
        <f>IF(AB27=0," ",VLOOKUP(R27*1.5/AB27,ACOPLADOR,3))</f>
        <v>TGC04</v>
      </c>
      <c r="AD27" s="58">
        <f>IF(AB27=0," ",VLOOKUP(R27*1.5/AB27,ACOPLADOR,2))</f>
        <v>2850</v>
      </c>
      <c r="AE27" s="56">
        <v>0</v>
      </c>
      <c r="AF27" s="57" t="str">
        <f>IF(AE27=0," ",VLOOKUP(R27/AE27,BARRA,3))</f>
        <v xml:space="preserve"> </v>
      </c>
      <c r="AG27" s="58" t="str">
        <f>IF(AE27=0," ",VLOOKUP(R27/AE27,BARRA,2))</f>
        <v xml:space="preserve"> </v>
      </c>
    </row>
    <row r="28" spans="1:33" s="9" customFormat="1" ht="30" customHeight="1">
      <c r="A28" s="23">
        <v>2</v>
      </c>
      <c r="B28" s="80">
        <v>2</v>
      </c>
      <c r="C28" s="102">
        <f>IF(D28=1,0,IF(D28=2,440,IF(D28=3,220,127)))</f>
        <v>127</v>
      </c>
      <c r="D28" s="114" t="str">
        <f>IF(B28=1,Tablas!$K$18,IF(B28=2,Tablas!$K$19,IF(B28=3,Tablas!$K$20)))</f>
        <v>KDA 01</v>
      </c>
      <c r="E28" s="115"/>
      <c r="F28" s="116">
        <f>IF(B28=1,Tablas!$N$18,IF(B28=2,Tablas!$N$19,IF(B28=3,Tablas!$N$20)))</f>
        <v>80</v>
      </c>
      <c r="G28" s="117">
        <v>230</v>
      </c>
      <c r="H28" s="118">
        <v>100</v>
      </c>
      <c r="I28" s="119">
        <f>((G28/F28))</f>
        <v>2.875</v>
      </c>
      <c r="J28" s="120">
        <f>(((I28+(2*F28/7)/F28)))</f>
        <v>3.1607142857142856</v>
      </c>
      <c r="K28" s="121">
        <f>H28/F28</f>
        <v>1.25</v>
      </c>
      <c r="L28" s="121">
        <f>(((K28+(2*H28/7)/H28)))</f>
        <v>1.5357142857142858</v>
      </c>
      <c r="M28" s="122">
        <f>IF(L28&lt;0.5,1,L28)</f>
        <v>1.5357142857142858</v>
      </c>
      <c r="N28" s="116">
        <f>J28*M28</f>
        <v>4.8539540816326534</v>
      </c>
      <c r="O28" s="171"/>
      <c r="P28" s="123">
        <f>CEILING(N28,1)</f>
        <v>5</v>
      </c>
      <c r="Q28" s="103"/>
      <c r="R28" s="91">
        <f>IF(B28=1,Tablas!$P$18,IF(B28=2,Tablas!$P$19,IF(B28=3,Tablas!$P$20)))</f>
        <v>200</v>
      </c>
      <c r="S28" s="135" t="str">
        <f>IF(B28=1,Tablas!$M$18,IF(B28=2,Tablas!$M$19,IF(B28=3,Tablas!$M$20)))</f>
        <v>TG-100K</v>
      </c>
      <c r="T28" s="138">
        <v>1</v>
      </c>
      <c r="U28" s="96">
        <f>IF(R28=0," ",IF(R28=0,0,VLOOKUP(R28*0.99,EXCAVACION,4)))</f>
        <v>1.05</v>
      </c>
      <c r="V28" s="97">
        <f>IF(R28=0," ",IF(R28=0,0,VLOOKUP(R28*0.99,EXCAVACION,5)))</f>
        <v>0.4</v>
      </c>
      <c r="W28" s="98">
        <f>IF(R28=0," ",IF(R28=0,0,VLOOKUP(R28*0.99,EXCAVACION,6)))</f>
        <v>0.4</v>
      </c>
      <c r="X28" s="41">
        <v>30</v>
      </c>
      <c r="Y28" s="39" t="str">
        <f>IF(X28=0," ",IF(X28&gt;=30," ",VLOOKUP(R28*0.99,CALIBRE,7)))</f>
        <v xml:space="preserve"> </v>
      </c>
      <c r="Z28" s="39">
        <f>IF(X28&lt;30," ",IF(X28&lt;30," ",VLOOKUP(R28*0.99,CALIBRE,8)))</f>
        <v>2</v>
      </c>
      <c r="AA28" s="42">
        <f>IF(X28&gt;=30,Z28,Y28)</f>
        <v>2</v>
      </c>
      <c r="AB28" s="59">
        <v>0</v>
      </c>
      <c r="AC28" s="60" t="str">
        <f>IF(AB28=0," ",VLOOKUP(R28*1.5/AB28,ACOPLADOR,3))</f>
        <v xml:space="preserve"> </v>
      </c>
      <c r="AD28" s="61" t="str">
        <f>IF(AB28=0," ",VLOOKUP(R28*1.5/AB28,ACOPLADOR,2))</f>
        <v xml:space="preserve"> </v>
      </c>
      <c r="AE28" s="59">
        <v>0</v>
      </c>
      <c r="AF28" s="60" t="str">
        <f>IF(AE28=0," ",VLOOKUP(R28/AE28,BARRA,3))</f>
        <v xml:space="preserve"> </v>
      </c>
      <c r="AG28" s="61" t="str">
        <f>IF(AE28=0," ",VLOOKUP(R28/AE28,BARRA,2))</f>
        <v xml:space="preserve"> </v>
      </c>
    </row>
    <row r="29" spans="1:33" s="9" customFormat="1" ht="30" customHeight="1">
      <c r="A29" s="23">
        <v>3</v>
      </c>
      <c r="B29" s="80">
        <v>3</v>
      </c>
      <c r="C29" s="102">
        <f>IF(D29=1,0,IF(D29=2,440,IF(D29=3,220,127)))</f>
        <v>127</v>
      </c>
      <c r="D29" s="124" t="str">
        <f>IF(B29=1,Tablas!$K$18,IF(B29=2,Tablas!$K$19,IF(B29=3,Tablas!$K$20)))</f>
        <v>KDA LU</v>
      </c>
      <c r="E29" s="125"/>
      <c r="F29" s="126">
        <f>IF(B29=1,Tablas!$N$18,IF(B29=2,Tablas!$N$19,IF(B29=3,Tablas!$N$20)))</f>
        <v>40</v>
      </c>
      <c r="G29" s="127">
        <v>230</v>
      </c>
      <c r="H29" s="128">
        <v>100</v>
      </c>
      <c r="I29" s="129">
        <f>((G29/F29))</f>
        <v>5.75</v>
      </c>
      <c r="J29" s="130">
        <f>(((I29+(2*F29/7)/F29)))</f>
        <v>6.0357142857142856</v>
      </c>
      <c r="K29" s="131">
        <f>H29/F29</f>
        <v>2.5</v>
      </c>
      <c r="L29" s="131">
        <f>(((K29+(2*H29/7)/H29)))</f>
        <v>2.7857142857142856</v>
      </c>
      <c r="M29" s="132">
        <f>IF(L29&lt;0.5,1,L29)</f>
        <v>2.7857142857142856</v>
      </c>
      <c r="N29" s="126">
        <f>J29*M29</f>
        <v>16.813775510204081</v>
      </c>
      <c r="O29" s="172"/>
      <c r="P29" s="133">
        <f>CEILING(N29,1)</f>
        <v>17</v>
      </c>
      <c r="Q29" s="103"/>
      <c r="R29" s="92">
        <f>IF(B29=1,Tablas!$P$18,IF(B29=2,Tablas!$P$19,IF(B29=3,Tablas!$P$20)))</f>
        <v>70</v>
      </c>
      <c r="S29" s="136" t="str">
        <f>IF(B29=1,Tablas!$M$18,IF(B29=2,Tablas!$M$19,IF(B29=3,Tablas!$M$20)))</f>
        <v>TG-45K</v>
      </c>
      <c r="T29" s="139">
        <v>1</v>
      </c>
      <c r="U29" s="99">
        <f>IF(R29=0," ",IF(R29=0,0,VLOOKUP(R29*0.99,EXCAVACION,4)))</f>
        <v>0.8</v>
      </c>
      <c r="V29" s="100">
        <f>IF(R29=0," ",IF(R29=0,0,VLOOKUP(R29*0.99,EXCAVACION,5)))</f>
        <v>0.3</v>
      </c>
      <c r="W29" s="101">
        <f>IF(R29=0," ",IF(R29=0,0,VLOOKUP(R29*0.99,EXCAVACION,6)))</f>
        <v>0.3</v>
      </c>
      <c r="X29" s="43">
        <v>33</v>
      </c>
      <c r="Y29" s="39" t="str">
        <f>IF(X29=0," ",IF(X29&gt;=30," ",VLOOKUP(R29*0.99,CALIBRE,7)))</f>
        <v xml:space="preserve"> </v>
      </c>
      <c r="Z29" s="39">
        <f>IF(X29&lt;30," ",IF(X29&lt;30," ",VLOOKUP(R29*0.99,CALIBRE,8)))</f>
        <v>2</v>
      </c>
      <c r="AA29" s="45">
        <f>IF(X29&gt;=30,Z29,Y29)</f>
        <v>2</v>
      </c>
      <c r="AB29" s="62">
        <v>0</v>
      </c>
      <c r="AC29" s="63" t="str">
        <f>IF(AB29=0," ",VLOOKUP(R29*1.5/AB29,ACOPLADOR,3))</f>
        <v xml:space="preserve"> </v>
      </c>
      <c r="AD29" s="64" t="str">
        <f>IF(AB29=0," ",VLOOKUP(R29*1.5/AB29,ACOPLADOR,2))</f>
        <v xml:space="preserve"> </v>
      </c>
      <c r="AE29" s="62">
        <v>0</v>
      </c>
      <c r="AF29" s="63" t="str">
        <f>IF(AE29=0," ",VLOOKUP(R29/AE29,BARRA,3))</f>
        <v xml:space="preserve"> </v>
      </c>
      <c r="AG29" s="64" t="str">
        <f>IF(AE29=0," ",VLOOKUP(R29/AE29,BARRA,2))</f>
        <v xml:space="preserve"> </v>
      </c>
    </row>
  </sheetData>
  <sheetProtection password="CC7F" sheet="1" objects="1" scenarios="1"/>
  <mergeCells count="41">
    <mergeCell ref="X22:AA23"/>
    <mergeCell ref="T23:T24"/>
    <mergeCell ref="G23:H24"/>
    <mergeCell ref="AE8:AG9"/>
    <mergeCell ref="AB8:AD9"/>
    <mergeCell ref="R9:R10"/>
    <mergeCell ref="R23:R24"/>
    <mergeCell ref="O9:O10"/>
    <mergeCell ref="X8:AA9"/>
    <mergeCell ref="H10:H11"/>
    <mergeCell ref="U11:W11"/>
    <mergeCell ref="AB22:AD23"/>
    <mergeCell ref="AE22:AG23"/>
    <mergeCell ref="S9:S10"/>
    <mergeCell ref="A8:A11"/>
    <mergeCell ref="A22:A25"/>
    <mergeCell ref="D23:D24"/>
    <mergeCell ref="F10:F11"/>
    <mergeCell ref="B22:B25"/>
    <mergeCell ref="D3:D4"/>
    <mergeCell ref="F9:H9"/>
    <mergeCell ref="F23:F24"/>
    <mergeCell ref="D9:D10"/>
    <mergeCell ref="D22:P22"/>
    <mergeCell ref="H3:H4"/>
    <mergeCell ref="U25:W25"/>
    <mergeCell ref="U8:W9"/>
    <mergeCell ref="P9:P10"/>
    <mergeCell ref="A7:AA7"/>
    <mergeCell ref="B3:B4"/>
    <mergeCell ref="F3:F4"/>
    <mergeCell ref="C8:R8"/>
    <mergeCell ref="U22:W23"/>
    <mergeCell ref="G10:G11"/>
    <mergeCell ref="S23:S24"/>
    <mergeCell ref="S8:T8"/>
    <mergeCell ref="T9:T10"/>
    <mergeCell ref="A21:AA21"/>
    <mergeCell ref="B8:B11"/>
    <mergeCell ref="P23:P24"/>
    <mergeCell ref="R22:T22"/>
  </mergeCells>
  <conditionalFormatting sqref="H13:N17 H27:L29">
    <cfRule type="cellIs" dxfId="2" priority="1" stopIfTrue="1" operator="lessThanOrEqual">
      <formula>0</formula>
    </cfRule>
  </conditionalFormatting>
  <pageMargins left="0.75" right="0.75" top="1" bottom="1" header="0" footer="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A36"/>
  <sheetViews>
    <sheetView zoomScale="90" zoomScaleNormal="90" zoomScalePageLayoutView="125" workbookViewId="0">
      <selection activeCell="C20" sqref="C20"/>
    </sheetView>
  </sheetViews>
  <sheetFormatPr baseColWidth="10" defaultColWidth="10.88671875" defaultRowHeight="13.2"/>
  <cols>
    <col min="1" max="1" width="36.44140625" bestFit="1" customWidth="1"/>
    <col min="2" max="2" width="16.88671875" bestFit="1" customWidth="1"/>
    <col min="3" max="3" width="18.6640625" bestFit="1" customWidth="1"/>
    <col min="4" max="4" width="22.88671875" bestFit="1" customWidth="1"/>
    <col min="5" max="5" width="14.33203125" customWidth="1"/>
    <col min="11" max="11" width="21" bestFit="1" customWidth="1"/>
    <col min="12" max="12" width="21.44140625" bestFit="1" customWidth="1"/>
    <col min="13" max="13" width="13.6640625" bestFit="1" customWidth="1"/>
    <col min="14" max="14" width="31.44140625" bestFit="1" customWidth="1"/>
    <col min="15" max="15" width="14.6640625" bestFit="1" customWidth="1"/>
    <col min="16" max="16" width="7.77734375" bestFit="1" customWidth="1"/>
    <col min="17" max="17" width="6.5546875" bestFit="1" customWidth="1"/>
    <col min="18" max="24" width="12.109375" bestFit="1" customWidth="1"/>
    <col min="26" max="26" width="12.109375" bestFit="1" customWidth="1"/>
    <col min="27" max="27" width="11.109375" bestFit="1" customWidth="1"/>
  </cols>
  <sheetData>
    <row r="1" spans="1:27" ht="58.2" customHeight="1" thickBot="1">
      <c r="A1" s="418" t="s">
        <v>184</v>
      </c>
      <c r="B1" s="419"/>
      <c r="C1" s="419"/>
      <c r="D1" s="419"/>
      <c r="E1" s="420"/>
      <c r="K1" s="406" t="s">
        <v>185</v>
      </c>
      <c r="L1" s="375"/>
      <c r="M1" s="375"/>
      <c r="N1" s="375"/>
      <c r="O1" s="375"/>
      <c r="P1" s="375"/>
      <c r="Q1" s="375"/>
      <c r="R1" s="375"/>
      <c r="S1" s="375"/>
      <c r="T1" s="375"/>
      <c r="U1" s="375"/>
      <c r="V1" s="375"/>
      <c r="W1" s="375"/>
      <c r="X1" s="375"/>
      <c r="Y1" s="375"/>
      <c r="Z1" s="375"/>
    </row>
    <row r="2" spans="1:27" ht="13.8" customHeight="1" thickBot="1">
      <c r="A2" s="197" t="s">
        <v>186</v>
      </c>
      <c r="B2" s="181" t="s">
        <v>187</v>
      </c>
      <c r="C2" s="256" t="s">
        <v>188</v>
      </c>
      <c r="D2" s="255" t="s">
        <v>189</v>
      </c>
      <c r="E2" s="253" t="s">
        <v>190</v>
      </c>
      <c r="G2" s="234">
        <v>0.35</v>
      </c>
      <c r="K2" s="328" t="s">
        <v>191</v>
      </c>
      <c r="L2" s="333" t="s">
        <v>192</v>
      </c>
      <c r="M2" s="333" t="s">
        <v>193</v>
      </c>
      <c r="N2" s="333"/>
      <c r="O2" s="333" t="s">
        <v>194</v>
      </c>
      <c r="P2" s="333"/>
      <c r="Q2" s="333">
        <v>1.08</v>
      </c>
      <c r="R2" s="333" t="s">
        <v>195</v>
      </c>
      <c r="S2" s="333" t="s">
        <v>196</v>
      </c>
      <c r="T2" s="333" t="s">
        <v>197</v>
      </c>
      <c r="U2" s="333" t="s">
        <v>198</v>
      </c>
      <c r="V2" s="333" t="s">
        <v>199</v>
      </c>
      <c r="W2" s="333" t="s">
        <v>200</v>
      </c>
      <c r="X2" s="333" t="s">
        <v>201</v>
      </c>
      <c r="Y2" s="333">
        <v>57.06</v>
      </c>
      <c r="Z2" s="333" t="s">
        <v>202</v>
      </c>
      <c r="AA2" s="340" t="s">
        <v>203</v>
      </c>
    </row>
    <row r="3" spans="1:27" ht="12.9" customHeight="1">
      <c r="A3" s="177" t="s">
        <v>204</v>
      </c>
      <c r="B3" s="326"/>
      <c r="C3" s="329"/>
      <c r="D3" s="417" t="s">
        <v>205</v>
      </c>
      <c r="E3" s="415" t="s">
        <v>206</v>
      </c>
      <c r="G3" s="235">
        <v>0.4</v>
      </c>
      <c r="K3" s="328"/>
      <c r="L3" s="333"/>
      <c r="M3" s="333"/>
      <c r="N3" s="333"/>
      <c r="O3" s="333"/>
      <c r="P3" s="333"/>
      <c r="Q3" s="333"/>
      <c r="R3" s="333"/>
      <c r="S3" s="333"/>
      <c r="T3" s="333"/>
      <c r="U3" s="333"/>
      <c r="V3" s="333"/>
      <c r="W3" s="333"/>
      <c r="X3" s="333"/>
      <c r="Y3" s="333"/>
      <c r="Z3" s="333"/>
    </row>
    <row r="4" spans="1:27">
      <c r="A4" s="178" t="s">
        <v>207</v>
      </c>
      <c r="B4" s="327"/>
      <c r="C4" s="329"/>
      <c r="D4" s="411"/>
      <c r="E4" s="416"/>
      <c r="G4" s="235">
        <v>0.75</v>
      </c>
      <c r="K4" s="327">
        <v>3032018</v>
      </c>
      <c r="L4" s="331">
        <v>2.4739</v>
      </c>
      <c r="M4" s="332">
        <f>PRODUCT(K4:L4)</f>
        <v>7500909.3301999997</v>
      </c>
      <c r="N4" s="333"/>
      <c r="O4" s="332">
        <f t="shared" ref="O4:O15" si="0">PRODUCT(M4,1.16)</f>
        <v>8701054.8230319992</v>
      </c>
      <c r="P4" s="332"/>
      <c r="Q4" s="332">
        <f t="shared" ref="Q4:Q15" si="1">M4*$G$1</f>
        <v>0</v>
      </c>
      <c r="R4" s="332">
        <f t="shared" ref="R4:R15" si="2">SUM(O4,39)</f>
        <v>8701093.8230319992</v>
      </c>
      <c r="S4" s="332">
        <f t="shared" ref="S4:S15" si="3">SUM(O4,40)</f>
        <v>8701094.8230319992</v>
      </c>
      <c r="T4" s="332">
        <f t="shared" ref="T4:T15" si="4">SUM(O4,46)</f>
        <v>8701100.8230319992</v>
      </c>
      <c r="U4" s="332">
        <f t="shared" ref="U4:U15" si="5">SUM(O4,50)</f>
        <v>8701104.8230319992</v>
      </c>
      <c r="V4" s="332">
        <f t="shared" ref="V4:V15" si="6">SUM(O4,53)</f>
        <v>8701107.8230319992</v>
      </c>
      <c r="W4" s="332">
        <f t="shared" ref="W4:W15" si="7">SUM(O4,55)</f>
        <v>8701109.8230319992</v>
      </c>
      <c r="X4" s="332">
        <f t="shared" ref="X4:X15" si="8">SUM(O4,60)</f>
        <v>8701114.8230319992</v>
      </c>
      <c r="Y4" s="332">
        <f>SUM(Q4,Y2)</f>
        <v>57.06</v>
      </c>
      <c r="Z4" s="332">
        <f t="shared" ref="Z4:Z15" si="9">SUM(O4,29)</f>
        <v>8701083.8230319992</v>
      </c>
      <c r="AA4" s="341">
        <f t="shared" ref="AA4:AA15" si="10">SUM(O4,62)</f>
        <v>8701116.8230319992</v>
      </c>
    </row>
    <row r="5" spans="1:27" ht="13.8" customHeight="1" thickBot="1">
      <c r="A5" s="178" t="s">
        <v>208</v>
      </c>
      <c r="B5" s="327"/>
      <c r="C5" s="329"/>
      <c r="D5" s="411"/>
      <c r="E5" s="416"/>
      <c r="G5" s="260">
        <v>1</v>
      </c>
      <c r="K5" s="327">
        <v>2701331</v>
      </c>
      <c r="L5" s="331">
        <v>2.6246999999999998</v>
      </c>
      <c r="M5" s="332">
        <f t="shared" ref="M5:M15" si="11">PRODUCT(K5,L5)</f>
        <v>7090183.4756999994</v>
      </c>
      <c r="N5" s="333"/>
      <c r="O5" s="332">
        <f t="shared" si="0"/>
        <v>8224612.831811999</v>
      </c>
      <c r="P5" s="332"/>
      <c r="Q5" s="332">
        <f t="shared" si="1"/>
        <v>0</v>
      </c>
      <c r="R5" s="332">
        <f t="shared" si="2"/>
        <v>8224651.831811999</v>
      </c>
      <c r="S5" s="332">
        <f t="shared" si="3"/>
        <v>8224652.831811999</v>
      </c>
      <c r="T5" s="332">
        <f t="shared" si="4"/>
        <v>8224658.831811999</v>
      </c>
      <c r="U5" s="332">
        <f t="shared" si="5"/>
        <v>8224662.831811999</v>
      </c>
      <c r="V5" s="332">
        <f t="shared" si="6"/>
        <v>8224665.831811999</v>
      </c>
      <c r="W5" s="332">
        <f t="shared" si="7"/>
        <v>8224667.831811999</v>
      </c>
      <c r="X5" s="332">
        <f t="shared" si="8"/>
        <v>8224672.831811999</v>
      </c>
      <c r="Y5" s="332">
        <f>SUM(Q5,Y2)</f>
        <v>57.06</v>
      </c>
      <c r="Z5" s="332">
        <f t="shared" si="9"/>
        <v>8224641.831811999</v>
      </c>
      <c r="AA5" s="341">
        <f t="shared" si="10"/>
        <v>8224674.831811999</v>
      </c>
    </row>
    <row r="6" spans="1:27" ht="13.8" thickBot="1">
      <c r="A6" s="178" t="s">
        <v>209</v>
      </c>
      <c r="B6" s="327"/>
      <c r="C6" s="329"/>
      <c r="D6" s="411"/>
      <c r="E6" s="416"/>
      <c r="G6" s="407" t="s">
        <v>210</v>
      </c>
      <c r="H6" s="408"/>
      <c r="I6" s="409"/>
      <c r="K6" s="347">
        <f>2410203+447682</f>
        <v>2857885</v>
      </c>
      <c r="L6" s="331">
        <v>2.5103</v>
      </c>
      <c r="M6" s="332">
        <f t="shared" si="11"/>
        <v>7174148.7154999999</v>
      </c>
      <c r="N6" s="333"/>
      <c r="O6" s="332">
        <f t="shared" si="0"/>
        <v>8322012.5099799996</v>
      </c>
      <c r="P6" s="332"/>
      <c r="Q6" s="332">
        <f t="shared" si="1"/>
        <v>0</v>
      </c>
      <c r="R6" s="332">
        <f t="shared" si="2"/>
        <v>8322051.5099799996</v>
      </c>
      <c r="S6" s="332">
        <f t="shared" si="3"/>
        <v>8322052.5099799996</v>
      </c>
      <c r="T6" s="332">
        <f t="shared" si="4"/>
        <v>8322058.5099799996</v>
      </c>
      <c r="U6" s="332">
        <f t="shared" si="5"/>
        <v>8322062.5099799996</v>
      </c>
      <c r="V6" s="332">
        <f t="shared" si="6"/>
        <v>8322065.5099799996</v>
      </c>
      <c r="W6" s="332">
        <f t="shared" si="7"/>
        <v>8322067.5099799996</v>
      </c>
      <c r="X6" s="332">
        <f t="shared" si="8"/>
        <v>8322072.5099799996</v>
      </c>
      <c r="Y6" s="332">
        <f>SUM(Q6,Y2)</f>
        <v>57.06</v>
      </c>
      <c r="Z6" s="332">
        <f t="shared" si="9"/>
        <v>8322041.5099799996</v>
      </c>
      <c r="AA6" s="341">
        <f t="shared" si="10"/>
        <v>8322074.5099799996</v>
      </c>
    </row>
    <row r="7" spans="1:27">
      <c r="A7" s="178" t="s">
        <v>211</v>
      </c>
      <c r="B7" s="327"/>
      <c r="C7" s="329"/>
      <c r="D7" s="411"/>
      <c r="E7" s="416"/>
      <c r="G7" s="410"/>
      <c r="H7" s="375"/>
      <c r="I7" s="411"/>
      <c r="K7" s="347">
        <v>2516681</v>
      </c>
      <c r="L7" s="331">
        <v>2.5737000000000001</v>
      </c>
      <c r="M7" s="332">
        <f t="shared" si="11"/>
        <v>6477181.8897000002</v>
      </c>
      <c r="N7" s="333"/>
      <c r="O7" s="332">
        <f t="shared" si="0"/>
        <v>7513530.992052</v>
      </c>
      <c r="P7" s="332"/>
      <c r="Q7" s="332">
        <f t="shared" si="1"/>
        <v>0</v>
      </c>
      <c r="R7" s="332">
        <f t="shared" si="2"/>
        <v>7513569.992052</v>
      </c>
      <c r="S7" s="332">
        <f t="shared" si="3"/>
        <v>7513570.992052</v>
      </c>
      <c r="T7" s="332">
        <f t="shared" si="4"/>
        <v>7513576.992052</v>
      </c>
      <c r="U7" s="332">
        <f t="shared" si="5"/>
        <v>7513580.992052</v>
      </c>
      <c r="V7" s="332">
        <f t="shared" si="6"/>
        <v>7513583.992052</v>
      </c>
      <c r="W7" s="332">
        <f t="shared" si="7"/>
        <v>7513585.992052</v>
      </c>
      <c r="X7" s="332">
        <f t="shared" si="8"/>
        <v>7513590.992052</v>
      </c>
      <c r="Y7" s="332">
        <f>SUM(Q7,Y2)</f>
        <v>57.06</v>
      </c>
      <c r="Z7" s="332">
        <f t="shared" si="9"/>
        <v>7513559.992052</v>
      </c>
      <c r="AA7" s="341">
        <f t="shared" si="10"/>
        <v>7513592.992052</v>
      </c>
    </row>
    <row r="8" spans="1:27">
      <c r="A8" s="178" t="s">
        <v>212</v>
      </c>
      <c r="B8" s="327"/>
      <c r="C8" s="329"/>
      <c r="D8" s="411"/>
      <c r="E8" s="416"/>
      <c r="G8" s="410"/>
      <c r="H8" s="375"/>
      <c r="I8" s="411"/>
      <c r="K8" s="347">
        <v>1973431</v>
      </c>
      <c r="L8" s="331">
        <v>2.72</v>
      </c>
      <c r="M8" s="332">
        <f t="shared" si="11"/>
        <v>5367732.32</v>
      </c>
      <c r="N8" s="333"/>
      <c r="O8" s="332">
        <f t="shared" si="0"/>
        <v>6226569.4912</v>
      </c>
      <c r="P8" s="332"/>
      <c r="Q8" s="332">
        <f t="shared" si="1"/>
        <v>0</v>
      </c>
      <c r="R8" s="332">
        <f t="shared" si="2"/>
        <v>6226608.4912</v>
      </c>
      <c r="S8" s="332">
        <f t="shared" si="3"/>
        <v>6226609.4912</v>
      </c>
      <c r="T8" s="332">
        <f t="shared" si="4"/>
        <v>6226615.4912</v>
      </c>
      <c r="U8" s="332">
        <f t="shared" si="5"/>
        <v>6226619.4912</v>
      </c>
      <c r="V8" s="332">
        <f t="shared" si="6"/>
        <v>6226622.4912</v>
      </c>
      <c r="W8" s="332">
        <f t="shared" si="7"/>
        <v>6226624.4912</v>
      </c>
      <c r="X8" s="332">
        <f t="shared" si="8"/>
        <v>6226629.4912</v>
      </c>
      <c r="Y8" s="332">
        <f>SUM(Q8,Y2)</f>
        <v>57.06</v>
      </c>
      <c r="Z8" s="332">
        <f t="shared" si="9"/>
        <v>6226598.4912</v>
      </c>
      <c r="AA8" s="341">
        <f t="shared" si="10"/>
        <v>6226631.4912</v>
      </c>
    </row>
    <row r="9" spans="1:27">
      <c r="A9" s="178" t="s">
        <v>213</v>
      </c>
      <c r="B9" s="328"/>
      <c r="C9" s="329"/>
      <c r="D9" s="411"/>
      <c r="E9" s="416"/>
      <c r="G9" s="410"/>
      <c r="H9" s="375"/>
      <c r="I9" s="411"/>
      <c r="K9" s="347">
        <v>2076859</v>
      </c>
      <c r="L9" s="331">
        <v>2.6236000000000002</v>
      </c>
      <c r="M9" s="332">
        <f t="shared" si="11"/>
        <v>5448847.2724000001</v>
      </c>
      <c r="N9" s="333"/>
      <c r="O9" s="332">
        <f t="shared" si="0"/>
        <v>6320662.835984</v>
      </c>
      <c r="P9" s="332"/>
      <c r="Q9" s="332">
        <f t="shared" si="1"/>
        <v>0</v>
      </c>
      <c r="R9" s="332">
        <f t="shared" si="2"/>
        <v>6320701.835984</v>
      </c>
      <c r="S9" s="332">
        <f t="shared" si="3"/>
        <v>6320702.835984</v>
      </c>
      <c r="T9" s="332">
        <f t="shared" si="4"/>
        <v>6320708.835984</v>
      </c>
      <c r="U9" s="332">
        <f t="shared" si="5"/>
        <v>6320712.835984</v>
      </c>
      <c r="V9" s="332">
        <f t="shared" si="6"/>
        <v>6320715.835984</v>
      </c>
      <c r="W9" s="332">
        <f t="shared" si="7"/>
        <v>6320717.835984</v>
      </c>
      <c r="X9" s="332">
        <f t="shared" si="8"/>
        <v>6320722.835984</v>
      </c>
      <c r="Y9" s="332">
        <f>SUM(Q9,Y2)</f>
        <v>57.06</v>
      </c>
      <c r="Z9" s="332">
        <f t="shared" si="9"/>
        <v>6320691.835984</v>
      </c>
      <c r="AA9" s="341">
        <f t="shared" si="10"/>
        <v>6320724.835984</v>
      </c>
    </row>
    <row r="10" spans="1:27">
      <c r="A10" s="178" t="s">
        <v>214</v>
      </c>
      <c r="B10" s="327"/>
      <c r="D10" s="411"/>
      <c r="E10" s="416"/>
      <c r="G10" s="410"/>
      <c r="H10" s="375"/>
      <c r="I10" s="411"/>
      <c r="K10" s="347">
        <v>2026893</v>
      </c>
      <c r="L10" s="331">
        <v>2.6823999999999999</v>
      </c>
      <c r="M10" s="332">
        <f t="shared" si="11"/>
        <v>5436937.7831999995</v>
      </c>
      <c r="N10" s="333"/>
      <c r="O10" s="332">
        <f t="shared" si="0"/>
        <v>6306847.828511999</v>
      </c>
      <c r="P10" s="332"/>
      <c r="Q10" s="332">
        <f t="shared" si="1"/>
        <v>0</v>
      </c>
      <c r="R10" s="332">
        <f t="shared" si="2"/>
        <v>6306886.828511999</v>
      </c>
      <c r="S10" s="332">
        <f t="shared" si="3"/>
        <v>6306887.828511999</v>
      </c>
      <c r="T10" s="332">
        <f t="shared" si="4"/>
        <v>6306893.828511999</v>
      </c>
      <c r="U10" s="332">
        <f t="shared" si="5"/>
        <v>6306897.828511999</v>
      </c>
      <c r="V10" s="332">
        <f t="shared" si="6"/>
        <v>6306900.828511999</v>
      </c>
      <c r="W10" s="332">
        <f t="shared" si="7"/>
        <v>6306902.828511999</v>
      </c>
      <c r="X10" s="332">
        <f t="shared" si="8"/>
        <v>6306907.828511999</v>
      </c>
      <c r="Y10" s="332">
        <f>SUM(Q10,Y2)</f>
        <v>57.06</v>
      </c>
      <c r="Z10" s="332">
        <f t="shared" si="9"/>
        <v>6306876.828511999</v>
      </c>
      <c r="AA10" s="341">
        <f t="shared" si="10"/>
        <v>6306909.828511999</v>
      </c>
    </row>
    <row r="11" spans="1:27">
      <c r="A11" s="178" t="s">
        <v>215</v>
      </c>
      <c r="B11" s="327"/>
      <c r="C11" s="329"/>
      <c r="D11" s="411"/>
      <c r="E11" s="416"/>
      <c r="F11" s="233"/>
      <c r="G11" s="410"/>
      <c r="H11" s="375"/>
      <c r="I11" s="411"/>
      <c r="K11" s="347">
        <v>2165000</v>
      </c>
      <c r="L11" s="331">
        <v>2.5573999999999999</v>
      </c>
      <c r="M11" s="332">
        <f t="shared" si="11"/>
        <v>5536771</v>
      </c>
      <c r="N11" s="333"/>
      <c r="O11" s="332">
        <f t="shared" si="0"/>
        <v>6422654.3599999994</v>
      </c>
      <c r="P11" s="332"/>
      <c r="Q11" s="332">
        <f t="shared" si="1"/>
        <v>0</v>
      </c>
      <c r="R11" s="332">
        <f t="shared" si="2"/>
        <v>6422693.3599999994</v>
      </c>
      <c r="S11" s="332">
        <f t="shared" si="3"/>
        <v>6422694.3599999994</v>
      </c>
      <c r="T11" s="332">
        <f t="shared" si="4"/>
        <v>6422700.3599999994</v>
      </c>
      <c r="U11" s="332">
        <f t="shared" si="5"/>
        <v>6422704.3599999994</v>
      </c>
      <c r="V11" s="332">
        <f t="shared" si="6"/>
        <v>6422707.3599999994</v>
      </c>
      <c r="W11" s="332">
        <f t="shared" si="7"/>
        <v>6422709.3599999994</v>
      </c>
      <c r="X11" s="332">
        <f t="shared" si="8"/>
        <v>6422714.3599999994</v>
      </c>
      <c r="Y11" s="332">
        <f>SUM(Q11,Y2)</f>
        <v>57.06</v>
      </c>
      <c r="Z11" s="332">
        <f t="shared" si="9"/>
        <v>6422683.3599999994</v>
      </c>
      <c r="AA11" s="341">
        <f t="shared" si="10"/>
        <v>6422716.3599999994</v>
      </c>
    </row>
    <row r="12" spans="1:27" ht="13.8" customHeight="1" thickBot="1">
      <c r="A12" s="178" t="s">
        <v>216</v>
      </c>
      <c r="B12" s="327"/>
      <c r="C12" s="329"/>
      <c r="D12" s="411"/>
      <c r="E12" s="416"/>
      <c r="G12" s="412"/>
      <c r="H12" s="413"/>
      <c r="I12" s="414"/>
      <c r="K12" s="347">
        <f>403907+1833739</f>
        <v>2237646</v>
      </c>
      <c r="L12" s="331">
        <v>2.4923999999999999</v>
      </c>
      <c r="M12" s="332">
        <f t="shared" si="11"/>
        <v>5577108.8903999999</v>
      </c>
      <c r="N12" s="333"/>
      <c r="O12" s="332">
        <f t="shared" si="0"/>
        <v>6469446.312863999</v>
      </c>
      <c r="P12" s="332"/>
      <c r="Q12" s="332">
        <f t="shared" si="1"/>
        <v>0</v>
      </c>
      <c r="R12" s="332">
        <f t="shared" si="2"/>
        <v>6469485.312863999</v>
      </c>
      <c r="S12" s="332">
        <f t="shared" si="3"/>
        <v>6469486.312863999</v>
      </c>
      <c r="T12" s="332">
        <f t="shared" si="4"/>
        <v>6469492.312863999</v>
      </c>
      <c r="U12" s="332">
        <f t="shared" si="5"/>
        <v>6469496.312863999</v>
      </c>
      <c r="V12" s="332">
        <f t="shared" si="6"/>
        <v>6469499.312863999</v>
      </c>
      <c r="W12" s="332">
        <f t="shared" si="7"/>
        <v>6469501.312863999</v>
      </c>
      <c r="X12" s="332">
        <f t="shared" si="8"/>
        <v>6469506.312863999</v>
      </c>
      <c r="Y12" s="332">
        <f>SUM(Q12,Y2)</f>
        <v>57.06</v>
      </c>
      <c r="Z12" s="332">
        <f t="shared" si="9"/>
        <v>6469475.312863999</v>
      </c>
      <c r="AA12" s="341">
        <f t="shared" si="10"/>
        <v>6469508.312863999</v>
      </c>
    </row>
    <row r="13" spans="1:27" ht="13.8" customHeight="1" thickBot="1">
      <c r="A13" s="178" t="s">
        <v>217</v>
      </c>
      <c r="B13" s="327"/>
      <c r="C13" s="329"/>
      <c r="D13" s="411"/>
      <c r="E13" s="416"/>
      <c r="K13" s="347">
        <v>2262537</v>
      </c>
      <c r="L13" s="331">
        <v>2.4588999999999999</v>
      </c>
      <c r="M13" s="332">
        <f t="shared" si="11"/>
        <v>5563352.2292999998</v>
      </c>
      <c r="N13" s="333"/>
      <c r="O13" s="332">
        <f t="shared" si="0"/>
        <v>6453488.5859879991</v>
      </c>
      <c r="P13" s="332"/>
      <c r="Q13" s="332">
        <f t="shared" si="1"/>
        <v>0</v>
      </c>
      <c r="R13" s="332">
        <f t="shared" si="2"/>
        <v>6453527.5859879991</v>
      </c>
      <c r="S13" s="332">
        <f t="shared" si="3"/>
        <v>6453528.5859879991</v>
      </c>
      <c r="T13" s="332">
        <f t="shared" si="4"/>
        <v>6453534.5859879991</v>
      </c>
      <c r="U13" s="332">
        <f t="shared" si="5"/>
        <v>6453538.5859879991</v>
      </c>
      <c r="V13" s="332">
        <f t="shared" si="6"/>
        <v>6453541.5859879991</v>
      </c>
      <c r="W13" s="332">
        <f t="shared" si="7"/>
        <v>6453543.5859879991</v>
      </c>
      <c r="X13" s="332">
        <f t="shared" si="8"/>
        <v>6453548.5859879991</v>
      </c>
      <c r="Y13" s="332">
        <f>SUM(Q13,Y2)</f>
        <v>57.06</v>
      </c>
      <c r="Z13" s="332">
        <f t="shared" si="9"/>
        <v>6453517.5859879991</v>
      </c>
      <c r="AA13" s="341">
        <f t="shared" si="10"/>
        <v>6453550.5859879991</v>
      </c>
    </row>
    <row r="14" spans="1:27" ht="13.8" customHeight="1" thickBot="1">
      <c r="A14" s="258" t="s">
        <v>218</v>
      </c>
      <c r="B14" s="339"/>
      <c r="C14" s="329"/>
      <c r="D14" s="404">
        <v>1</v>
      </c>
      <c r="E14" s="254"/>
      <c r="K14" s="347">
        <v>2187363</v>
      </c>
      <c r="L14" s="331">
        <v>2.5453000000000001</v>
      </c>
      <c r="M14" s="332">
        <f t="shared" si="11"/>
        <v>5567495.0438999999</v>
      </c>
      <c r="N14" s="333"/>
      <c r="O14" s="332">
        <f t="shared" si="0"/>
        <v>6458294.2509239996</v>
      </c>
      <c r="P14" s="332"/>
      <c r="Q14" s="332">
        <f t="shared" si="1"/>
        <v>0</v>
      </c>
      <c r="R14" s="332">
        <f t="shared" si="2"/>
        <v>6458333.2509239996</v>
      </c>
      <c r="S14" s="332">
        <f t="shared" si="3"/>
        <v>6458334.2509239996</v>
      </c>
      <c r="T14" s="332">
        <f t="shared" si="4"/>
        <v>6458340.2509239996</v>
      </c>
      <c r="U14" s="332">
        <f t="shared" si="5"/>
        <v>6458344.2509239996</v>
      </c>
      <c r="V14" s="332">
        <f t="shared" si="6"/>
        <v>6458347.2509239996</v>
      </c>
      <c r="W14" s="332">
        <f t="shared" si="7"/>
        <v>6458349.2509239996</v>
      </c>
      <c r="X14" s="332">
        <f t="shared" si="8"/>
        <v>6458354.2509239996</v>
      </c>
      <c r="Y14" s="332">
        <f>SUM(Q14,Y2)</f>
        <v>57.06</v>
      </c>
      <c r="Z14" s="332">
        <f t="shared" si="9"/>
        <v>6458323.2509239996</v>
      </c>
      <c r="AA14" s="341">
        <f t="shared" si="10"/>
        <v>6458356.2509239996</v>
      </c>
    </row>
    <row r="15" spans="1:27" ht="13.8" customHeight="1" thickBot="1">
      <c r="A15" s="179" t="s">
        <v>219</v>
      </c>
      <c r="B15" s="328">
        <f>AVERAGE(K4:K15)</f>
        <v>2357895.0833333335</v>
      </c>
      <c r="C15" s="270" t="e">
        <f>AVERAGE(C3:C14)</f>
        <v>#DIV/0!</v>
      </c>
      <c r="D15" s="405"/>
      <c r="E15" s="254"/>
      <c r="K15" s="347">
        <v>2257097</v>
      </c>
      <c r="L15" s="331">
        <v>2.5545</v>
      </c>
      <c r="M15" s="332">
        <f t="shared" si="11"/>
        <v>5765754.2865000004</v>
      </c>
      <c r="N15" s="333"/>
      <c r="O15" s="332">
        <f t="shared" si="0"/>
        <v>6688274.9723399999</v>
      </c>
      <c r="P15" s="332"/>
      <c r="Q15" s="332">
        <f t="shared" si="1"/>
        <v>0</v>
      </c>
      <c r="R15" s="332">
        <f t="shared" si="2"/>
        <v>6688313.9723399999</v>
      </c>
      <c r="S15" s="332">
        <f t="shared" si="3"/>
        <v>6688314.9723399999</v>
      </c>
      <c r="T15" s="332">
        <f t="shared" si="4"/>
        <v>6688320.9723399999</v>
      </c>
      <c r="U15" s="332">
        <f t="shared" si="5"/>
        <v>6688324.9723399999</v>
      </c>
      <c r="V15" s="332">
        <f t="shared" si="6"/>
        <v>6688327.9723399999</v>
      </c>
      <c r="W15" s="332">
        <f t="shared" si="7"/>
        <v>6688329.9723399999</v>
      </c>
      <c r="X15" s="332">
        <f t="shared" si="8"/>
        <v>6688334.9723399999</v>
      </c>
      <c r="Y15" s="332">
        <f>SUM(Q15,Y2)</f>
        <v>57.06</v>
      </c>
      <c r="Z15" s="332">
        <f t="shared" si="9"/>
        <v>6688303.9723399999</v>
      </c>
      <c r="AA15" s="341">
        <f t="shared" si="10"/>
        <v>6688336.9723399999</v>
      </c>
    </row>
    <row r="16" spans="1:27" ht="13.8" customHeight="1" thickBot="1">
      <c r="A16" s="180" t="s">
        <v>220</v>
      </c>
      <c r="B16" s="334">
        <f>+K17*1000/30.5</f>
        <v>77308035.519125685</v>
      </c>
      <c r="C16" s="198"/>
      <c r="D16" s="198">
        <f>B16*D14</f>
        <v>77308035.519125685</v>
      </c>
      <c r="E16" s="198">
        <f>B16-D16</f>
        <v>0</v>
      </c>
      <c r="F16" s="6"/>
      <c r="K16" s="328"/>
      <c r="L16" s="333"/>
      <c r="M16" s="333"/>
      <c r="N16" s="333"/>
      <c r="O16" s="333"/>
      <c r="P16" s="333"/>
      <c r="Q16" s="333"/>
      <c r="R16" s="333"/>
      <c r="S16" s="332"/>
      <c r="T16" s="333"/>
      <c r="U16" s="333"/>
      <c r="V16" s="333"/>
      <c r="W16" s="333"/>
      <c r="X16" s="333"/>
      <c r="Y16" s="333"/>
      <c r="Z16" s="333"/>
    </row>
    <row r="17" spans="1:27" ht="13.8" customHeight="1" thickBot="1">
      <c r="A17" s="259" t="s">
        <v>221</v>
      </c>
      <c r="B17" s="257"/>
      <c r="C17" s="272" t="e">
        <f>P17</f>
        <v>#DIV/0!</v>
      </c>
      <c r="K17" s="328">
        <f>AVERAGE(K4:K15)</f>
        <v>2357895.0833333335</v>
      </c>
      <c r="L17" s="333" t="s">
        <v>219</v>
      </c>
      <c r="M17" s="333"/>
      <c r="N17" s="333" t="s">
        <v>221</v>
      </c>
      <c r="O17" s="332">
        <f>AVERAGE(O4:O15)</f>
        <v>7008954.1495573334</v>
      </c>
      <c r="P17" s="332" t="e">
        <f>AVERAGE(P4:P15)</f>
        <v>#DIV/0!</v>
      </c>
      <c r="Q17" s="332"/>
      <c r="R17" s="332">
        <f>AVERAGE(R4:R15)</f>
        <v>7008993.1495573334</v>
      </c>
      <c r="S17" s="332">
        <f t="shared" ref="S17:AA17" si="12">AVERAGE(S4:S15)</f>
        <v>7008994.1495573334</v>
      </c>
      <c r="T17" s="332">
        <f t="shared" si="12"/>
        <v>7009000.1495573334</v>
      </c>
      <c r="U17" s="332">
        <f t="shared" si="12"/>
        <v>7009004.1495573334</v>
      </c>
      <c r="V17" s="332">
        <f t="shared" si="12"/>
        <v>7009007.1495573334</v>
      </c>
      <c r="W17" s="332">
        <f t="shared" si="12"/>
        <v>7009009.1495573334</v>
      </c>
      <c r="X17" s="332">
        <f t="shared" si="12"/>
        <v>7009014.1495573334</v>
      </c>
      <c r="Y17" s="332">
        <f t="shared" si="12"/>
        <v>57.059999999999981</v>
      </c>
      <c r="Z17" s="332">
        <f t="shared" si="12"/>
        <v>7008983.1495573334</v>
      </c>
      <c r="AA17" s="341">
        <f t="shared" si="12"/>
        <v>7009016.1495573334</v>
      </c>
    </row>
    <row r="18" spans="1:27" ht="13.8" customHeight="1" thickBot="1">
      <c r="A18" s="259" t="s">
        <v>222</v>
      </c>
      <c r="B18" s="257"/>
      <c r="C18" s="271">
        <f>P18</f>
        <v>0</v>
      </c>
      <c r="G18" s="403"/>
      <c r="H18" s="375"/>
      <c r="I18" s="375"/>
      <c r="J18" s="375"/>
      <c r="K18" s="334">
        <f>+K17*1000/30.5</f>
        <v>77308035.519125685</v>
      </c>
      <c r="L18" s="333" t="s">
        <v>223</v>
      </c>
      <c r="M18" s="333"/>
      <c r="N18" s="333" t="s">
        <v>222</v>
      </c>
      <c r="O18" s="332">
        <f>SUM(O4:O15)</f>
        <v>84107449.794688001</v>
      </c>
      <c r="P18" s="332">
        <f>SUM(P4:P15)</f>
        <v>0</v>
      </c>
      <c r="Q18" s="332"/>
      <c r="R18" s="332">
        <f>SUM(R4:R15)</f>
        <v>84107917.794688001</v>
      </c>
      <c r="S18" s="332">
        <f t="shared" ref="S18:AA18" si="13">SUM(S4:S15)</f>
        <v>84107929.794688001</v>
      </c>
      <c r="T18" s="332">
        <f t="shared" si="13"/>
        <v>84108001.794688001</v>
      </c>
      <c r="U18" s="332">
        <f t="shared" si="13"/>
        <v>84108049.794688001</v>
      </c>
      <c r="V18" s="332">
        <f t="shared" si="13"/>
        <v>84108085.794688001</v>
      </c>
      <c r="W18" s="332">
        <f t="shared" si="13"/>
        <v>84108109.794688001</v>
      </c>
      <c r="X18" s="332">
        <f t="shared" si="13"/>
        <v>84108169.794688001</v>
      </c>
      <c r="Y18" s="332">
        <f t="shared" si="13"/>
        <v>684.7199999999998</v>
      </c>
      <c r="Z18" s="332">
        <f t="shared" si="13"/>
        <v>84107797.794688001</v>
      </c>
      <c r="AA18" s="341">
        <f t="shared" si="13"/>
        <v>84108193.794688001</v>
      </c>
    </row>
    <row r="19" spans="1:27">
      <c r="A19" s="236"/>
      <c r="B19" s="237"/>
      <c r="C19" s="237"/>
      <c r="G19" s="375"/>
      <c r="H19" s="375"/>
      <c r="I19" s="375"/>
      <c r="J19" s="375"/>
      <c r="K19" s="330"/>
    </row>
    <row r="20" spans="1:27">
      <c r="K20" s="348">
        <v>0</v>
      </c>
    </row>
    <row r="21" spans="1:27">
      <c r="K21" s="348"/>
    </row>
    <row r="22" spans="1:27">
      <c r="K22" s="349"/>
      <c r="M22" s="330">
        <f>AVERAGE(K5:K15)</f>
        <v>2296611.1818181816</v>
      </c>
    </row>
    <row r="23" spans="1:27">
      <c r="B23">
        <f>7.5/1.2*5.33*30.5</f>
        <v>1016.03125</v>
      </c>
      <c r="K23" s="349"/>
      <c r="M23" s="330">
        <f>AVERAGE(L5:L15)</f>
        <v>2.5766545454545455</v>
      </c>
      <c r="O23" s="330" t="e">
        <f>SUM(#REF!,K14)</f>
        <v>#REF!</v>
      </c>
    </row>
    <row r="24" spans="1:27">
      <c r="K24" s="349"/>
      <c r="O24" s="330">
        <f>SUM(K4:K14)</f>
        <v>26037644</v>
      </c>
    </row>
    <row r="25" spans="1:27">
      <c r="K25" s="349"/>
    </row>
    <row r="26" spans="1:27">
      <c r="K26" s="349"/>
    </row>
    <row r="27" spans="1:27">
      <c r="K27" s="349"/>
    </row>
    <row r="28" spans="1:27">
      <c r="K28" s="349"/>
    </row>
    <row r="29" spans="1:27">
      <c r="K29" s="349"/>
    </row>
    <row r="30" spans="1:27">
      <c r="K30" s="349"/>
    </row>
    <row r="31" spans="1:27">
      <c r="K31" s="349"/>
    </row>
    <row r="32" spans="1:27">
      <c r="K32" s="330"/>
    </row>
    <row r="33" spans="11:11">
      <c r="K33" s="348">
        <f>AVERAGE(K5:K15)</f>
        <v>2296611.1818181816</v>
      </c>
    </row>
    <row r="34" spans="11:11">
      <c r="K34" s="348">
        <f>SUM(K20:K31)</f>
        <v>0</v>
      </c>
    </row>
    <row r="35" spans="11:11">
      <c r="K35" s="330"/>
    </row>
    <row r="36" spans="11:11">
      <c r="K36" s="330"/>
    </row>
  </sheetData>
  <mergeCells count="7">
    <mergeCell ref="G18:J19"/>
    <mergeCell ref="D14:D15"/>
    <mergeCell ref="K1:Z1"/>
    <mergeCell ref="G6:I12"/>
    <mergeCell ref="E3:E13"/>
    <mergeCell ref="D3:D13"/>
    <mergeCell ref="A1:E1"/>
  </mergeCells>
  <dataValidations count="1">
    <dataValidation type="list" allowBlank="1" showInputMessage="1" showErrorMessage="1" sqref="D14" xr:uid="{00000000-0002-0000-0300-000000000000}">
      <formula1>$G$2:$G$5</formula1>
    </dataValidation>
  </dataValidations>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pageSetUpPr fitToPage="1"/>
  </sheetPr>
  <dimension ref="A1:R36"/>
  <sheetViews>
    <sheetView showGridLines="0" topLeftCell="A5" zoomScale="80" zoomScaleNormal="80" zoomScalePageLayoutView="150" workbookViewId="0">
      <selection activeCell="C9" sqref="C9"/>
    </sheetView>
  </sheetViews>
  <sheetFormatPr baseColWidth="10" defaultColWidth="10.88671875" defaultRowHeight="13.2"/>
  <cols>
    <col min="1" max="1" width="6.44140625" bestFit="1" customWidth="1"/>
    <col min="2" max="2" width="51.88671875" customWidth="1"/>
    <col min="3" max="3" width="14.44140625" customWidth="1"/>
    <col min="4" max="4" width="12.44140625" bestFit="1" customWidth="1"/>
    <col min="5" max="5" width="16" customWidth="1"/>
    <col min="6" max="6" width="10" bestFit="1" customWidth="1"/>
    <col min="7" max="7" width="11.44140625" bestFit="1" customWidth="1"/>
    <col min="8" max="8" width="11.109375" bestFit="1" customWidth="1"/>
    <col min="9" max="11" width="13.44140625" hidden="1" customWidth="1"/>
    <col min="12" max="12" width="10.44140625" customWidth="1"/>
    <col min="13" max="15" width="13.44140625" hidden="1" customWidth="1"/>
    <col min="16" max="16" width="25.88671875" bestFit="1" customWidth="1"/>
    <col min="17" max="17" width="9.109375" customWidth="1"/>
    <col min="18" max="18" width="12.44140625" bestFit="1" customWidth="1"/>
    <col min="19" max="256" width="9.109375" customWidth="1"/>
  </cols>
  <sheetData>
    <row r="1" spans="1:16" ht="12.75" customHeight="1">
      <c r="A1" s="421" t="s">
        <v>224</v>
      </c>
      <c r="B1" s="375"/>
      <c r="C1" s="375"/>
      <c r="D1" s="375"/>
      <c r="E1" s="375"/>
      <c r="F1" s="375"/>
      <c r="G1" s="375"/>
      <c r="H1" s="375"/>
      <c r="I1" s="375"/>
      <c r="J1" s="375"/>
      <c r="K1" s="375"/>
      <c r="L1" s="375"/>
    </row>
    <row r="2" spans="1:16" ht="13.8" customHeight="1" thickBot="1">
      <c r="A2" s="375"/>
      <c r="B2" s="375"/>
      <c r="C2" s="375"/>
      <c r="D2" s="375"/>
      <c r="E2" s="375"/>
      <c r="F2" s="375"/>
      <c r="G2" s="375"/>
      <c r="H2" s="375"/>
      <c r="I2" s="375"/>
      <c r="J2" s="375"/>
      <c r="K2" s="375"/>
      <c r="L2" s="375"/>
    </row>
    <row r="3" spans="1:16" ht="15.6" customHeight="1">
      <c r="A3" s="32"/>
      <c r="B3" s="436" t="s">
        <v>225</v>
      </c>
      <c r="C3" s="375"/>
      <c r="D3" s="375"/>
      <c r="E3" s="415" t="s">
        <v>226</v>
      </c>
      <c r="F3" s="408"/>
      <c r="G3" s="408"/>
      <c r="H3" s="409"/>
      <c r="I3" s="32"/>
      <c r="J3" s="32"/>
      <c r="K3" s="32"/>
      <c r="L3" s="32"/>
    </row>
    <row r="4" spans="1:16" ht="12.6" customHeight="1">
      <c r="E4" s="410"/>
      <c r="F4" s="375"/>
      <c r="G4" s="375"/>
      <c r="H4" s="411"/>
    </row>
    <row r="5" spans="1:16" ht="18.600000000000001" customHeight="1" thickBot="1">
      <c r="A5" s="32"/>
      <c r="B5" s="144" t="s">
        <v>227</v>
      </c>
      <c r="C5" s="141">
        <v>6</v>
      </c>
      <c r="D5" s="261"/>
      <c r="E5" s="410"/>
      <c r="F5" s="375"/>
      <c r="G5" s="375"/>
      <c r="H5" s="411"/>
      <c r="I5" s="9"/>
      <c r="J5" s="9"/>
      <c r="K5" s="9"/>
      <c r="L5" s="9"/>
    </row>
    <row r="6" spans="1:16" ht="18" customHeight="1">
      <c r="A6" s="32"/>
      <c r="B6" s="144" t="s">
        <v>228</v>
      </c>
      <c r="C6" s="168">
        <f>IF(C5=0," ",IF(C5=0,0,VLOOKUP(C5,insolasion,7)))</f>
        <v>4.6500000000000004</v>
      </c>
      <c r="D6" s="262" t="s">
        <v>229</v>
      </c>
      <c r="E6" s="407" t="s">
        <v>230</v>
      </c>
      <c r="F6" s="408"/>
      <c r="G6" s="408"/>
      <c r="H6" s="408"/>
      <c r="I6" s="408"/>
      <c r="J6" s="408"/>
      <c r="K6" s="408"/>
      <c r="L6" s="409"/>
      <c r="P6" s="195" t="s">
        <v>231</v>
      </c>
    </row>
    <row r="7" spans="1:16" ht="19.2" customHeight="1" thickBot="1">
      <c r="A7" s="32"/>
      <c r="B7" s="144" t="s">
        <v>232</v>
      </c>
      <c r="C7" s="169">
        <v>1.2</v>
      </c>
      <c r="D7" s="262"/>
      <c r="E7" s="412"/>
      <c r="F7" s="413"/>
      <c r="G7" s="413"/>
      <c r="H7" s="413"/>
      <c r="I7" s="413"/>
      <c r="J7" s="413"/>
      <c r="K7" s="413"/>
      <c r="L7" s="414"/>
      <c r="P7" s="201">
        <f>C33*D33</f>
        <v>20150000</v>
      </c>
    </row>
    <row r="8" spans="1:16" ht="19.2" customHeight="1" thickBot="1">
      <c r="A8" s="32"/>
      <c r="B8" s="144" t="s">
        <v>233</v>
      </c>
      <c r="C8" s="169">
        <v>1.25</v>
      </c>
      <c r="D8" s="167"/>
      <c r="E8" s="9"/>
      <c r="F8" s="9"/>
      <c r="G8" s="9"/>
      <c r="H8" s="9"/>
      <c r="I8" s="9"/>
      <c r="J8" s="9"/>
      <c r="K8" s="9"/>
      <c r="L8" s="9"/>
    </row>
    <row r="9" spans="1:16" ht="18" customHeight="1">
      <c r="A9" s="32"/>
      <c r="B9" s="144" t="s">
        <v>234</v>
      </c>
      <c r="C9" s="141">
        <v>620</v>
      </c>
      <c r="D9" s="167" t="s">
        <v>235</v>
      </c>
      <c r="E9" s="9"/>
      <c r="F9" s="407" t="s">
        <v>236</v>
      </c>
      <c r="G9" s="409"/>
      <c r="H9" s="407" t="s">
        <v>237</v>
      </c>
      <c r="I9" s="408"/>
      <c r="J9" s="408"/>
      <c r="K9" s="408"/>
      <c r="L9" s="409"/>
      <c r="P9" s="195" t="s">
        <v>238</v>
      </c>
    </row>
    <row r="10" spans="1:16" ht="19.2" customHeight="1" thickBot="1">
      <c r="A10" s="32"/>
      <c r="B10" s="144" t="s">
        <v>239</v>
      </c>
      <c r="C10" s="169">
        <f>C9*C6</f>
        <v>2883</v>
      </c>
      <c r="D10" s="167" t="s">
        <v>240</v>
      </c>
      <c r="E10" s="9"/>
      <c r="F10" s="410"/>
      <c r="G10" s="411"/>
      <c r="H10" s="410"/>
      <c r="I10" s="375"/>
      <c r="J10" s="375"/>
      <c r="K10" s="375"/>
      <c r="L10" s="411"/>
      <c r="P10" s="196">
        <f>(C10*C33)/G21</f>
        <v>1.0000017177736455</v>
      </c>
    </row>
    <row r="11" spans="1:16" ht="17.399999999999999" customHeight="1">
      <c r="A11" s="32"/>
      <c r="B11" s="432" t="s">
        <v>241</v>
      </c>
      <c r="C11" s="141">
        <v>1</v>
      </c>
      <c r="D11" s="167" t="s">
        <v>242</v>
      </c>
      <c r="E11" s="9"/>
      <c r="F11" s="410"/>
      <c r="G11" s="411"/>
      <c r="H11" s="410"/>
      <c r="I11" s="375"/>
      <c r="J11" s="375"/>
      <c r="K11" s="375"/>
      <c r="L11" s="411"/>
    </row>
    <row r="12" spans="1:16" ht="17.399999999999999" customHeight="1">
      <c r="A12" s="32"/>
      <c r="B12" s="433"/>
      <c r="C12" s="141">
        <v>1</v>
      </c>
      <c r="D12" s="167" t="s">
        <v>243</v>
      </c>
      <c r="E12" s="9"/>
      <c r="F12" s="410"/>
      <c r="G12" s="411"/>
      <c r="H12" s="410"/>
      <c r="I12" s="375"/>
      <c r="J12" s="375"/>
      <c r="K12" s="375"/>
      <c r="L12" s="411"/>
    </row>
    <row r="13" spans="1:16" ht="18.600000000000001" customHeight="1">
      <c r="A13" s="32"/>
      <c r="B13" s="144" t="s">
        <v>244</v>
      </c>
      <c r="C13" s="141">
        <v>1</v>
      </c>
      <c r="D13" s="167" t="s">
        <v>245</v>
      </c>
      <c r="E13" s="9"/>
      <c r="F13" s="410"/>
      <c r="G13" s="411"/>
      <c r="H13" s="410"/>
      <c r="I13" s="375"/>
      <c r="J13" s="375"/>
      <c r="K13" s="375"/>
      <c r="L13" s="411"/>
    </row>
    <row r="14" spans="1:16" ht="18.600000000000001" customHeight="1">
      <c r="A14" s="32"/>
      <c r="B14" s="144" t="s">
        <v>246</v>
      </c>
      <c r="C14" s="141">
        <v>-1</v>
      </c>
      <c r="D14" s="167" t="s">
        <v>247</v>
      </c>
      <c r="E14" s="9"/>
      <c r="F14" s="410"/>
      <c r="G14" s="411"/>
      <c r="H14" s="410"/>
      <c r="I14" s="375"/>
      <c r="J14" s="375"/>
      <c r="K14" s="375"/>
      <c r="L14" s="411"/>
    </row>
    <row r="15" spans="1:16" ht="13.8" customHeight="1" thickBot="1">
      <c r="F15" s="412"/>
      <c r="G15" s="414"/>
      <c r="H15" s="412"/>
      <c r="I15" s="413"/>
      <c r="J15" s="413"/>
      <c r="K15" s="413"/>
      <c r="L15" s="414"/>
    </row>
    <row r="16" spans="1:16" ht="15.6" customHeight="1">
      <c r="A16" s="386"/>
      <c r="B16" s="387"/>
      <c r="C16" s="387"/>
      <c r="D16" s="387"/>
      <c r="E16" s="387"/>
      <c r="F16" s="387"/>
      <c r="G16" s="387"/>
      <c r="H16" s="387"/>
      <c r="I16" s="387"/>
      <c r="J16" s="387"/>
      <c r="K16" s="387"/>
      <c r="L16" s="387"/>
    </row>
    <row r="17" spans="1:18" s="9" customFormat="1" ht="13.5" customHeight="1">
      <c r="A17" s="397" t="s">
        <v>147</v>
      </c>
      <c r="B17" s="394" t="s">
        <v>116</v>
      </c>
      <c r="C17" s="385" t="s">
        <v>147</v>
      </c>
      <c r="D17" s="380"/>
      <c r="E17" s="380"/>
      <c r="F17" s="380"/>
      <c r="G17" s="393"/>
      <c r="H17" s="422" t="s">
        <v>248</v>
      </c>
      <c r="I17" s="422" t="s">
        <v>249</v>
      </c>
      <c r="J17" s="423"/>
      <c r="K17" s="423"/>
      <c r="L17" s="424"/>
      <c r="M17" s="435" t="s">
        <v>250</v>
      </c>
      <c r="N17" s="424"/>
      <c r="O17" s="435" t="s">
        <v>251</v>
      </c>
    </row>
    <row r="18" spans="1:18" s="9" customFormat="1">
      <c r="A18" s="364"/>
      <c r="B18" s="364"/>
      <c r="C18" s="20"/>
      <c r="D18" s="20"/>
      <c r="E18" s="20" t="s">
        <v>252</v>
      </c>
      <c r="F18" s="20" t="s">
        <v>253</v>
      </c>
      <c r="G18" s="8" t="s">
        <v>254</v>
      </c>
      <c r="H18" s="430"/>
      <c r="I18" s="425"/>
      <c r="J18" s="426"/>
      <c r="K18" s="426"/>
      <c r="L18" s="427"/>
      <c r="M18" s="425"/>
      <c r="N18" s="427"/>
      <c r="O18" s="430"/>
    </row>
    <row r="19" spans="1:18" s="9" customFormat="1">
      <c r="A19" s="365"/>
      <c r="B19" s="365"/>
      <c r="C19" s="20" t="s">
        <v>255</v>
      </c>
      <c r="D19" s="385" t="s">
        <v>235</v>
      </c>
      <c r="E19" s="393"/>
      <c r="F19" s="20" t="s">
        <v>256</v>
      </c>
      <c r="G19" s="8" t="s">
        <v>240</v>
      </c>
      <c r="H19" s="422" t="s">
        <v>255</v>
      </c>
      <c r="I19" s="391"/>
      <c r="J19" s="391"/>
      <c r="K19" s="391"/>
      <c r="L19" s="392"/>
      <c r="M19" s="146" t="s">
        <v>235</v>
      </c>
      <c r="N19" s="146" t="s">
        <v>257</v>
      </c>
      <c r="O19" s="146" t="s">
        <v>235</v>
      </c>
    </row>
    <row r="20" spans="1:18" s="9" customFormat="1" ht="19.5" customHeight="1">
      <c r="M20" s="147"/>
      <c r="N20" s="147"/>
      <c r="O20" s="147"/>
    </row>
    <row r="21" spans="1:18" s="9" customFormat="1" ht="18.600000000000001" customHeight="1">
      <c r="A21" s="428" t="s">
        <v>258</v>
      </c>
      <c r="B21" s="174" t="s">
        <v>259</v>
      </c>
      <c r="C21" s="142">
        <v>1</v>
      </c>
      <c r="D21" s="199">
        <f>+'PROMEDIO DE CONSUMO'!D16</f>
        <v>77308035.519125685</v>
      </c>
      <c r="E21" s="200">
        <f>C21*D21</f>
        <v>77308035.519125685</v>
      </c>
      <c r="F21" s="142">
        <v>1</v>
      </c>
      <c r="G21" s="200">
        <f>'PROMEDIO DE CONSUMO'!B16*F21*$C$7*(1+$C$13/100)</f>
        <v>93697339.049180329</v>
      </c>
      <c r="H21" s="200">
        <f>(E21*F21*$C$7*(1+$C$13/100))/$C$10</f>
        <v>32499.944172452422</v>
      </c>
      <c r="I21" s="145">
        <f>G21/$C$11</f>
        <v>93697339.049180329</v>
      </c>
      <c r="J21" s="145">
        <f>I21/$C$12</f>
        <v>93697339.049180329</v>
      </c>
      <c r="K21" s="145">
        <f>$C$14+1</f>
        <v>0</v>
      </c>
      <c r="L21" s="21">
        <f>J21*K21</f>
        <v>0</v>
      </c>
      <c r="M21" s="150">
        <f>$C$9*H21</f>
        <v>20149965.386920501</v>
      </c>
      <c r="N21" s="148">
        <f>M21/$C$11</f>
        <v>20149965.386920501</v>
      </c>
      <c r="O21" s="148">
        <f>E21*$C$13</f>
        <v>77308035.519125685</v>
      </c>
    </row>
    <row r="22" spans="1:18" s="9" customFormat="1" ht="18.600000000000001" customHeight="1">
      <c r="A22" s="429"/>
      <c r="B22" s="174"/>
      <c r="C22" s="142"/>
      <c r="D22" s="142"/>
      <c r="E22" s="200">
        <f>C22*D22</f>
        <v>0</v>
      </c>
      <c r="F22" s="142"/>
      <c r="G22" s="200">
        <f>'PROMEDIO DE CONSUMO'!B17*F22*$C$7*(1+$C$13/100)</f>
        <v>0</v>
      </c>
      <c r="H22" s="200">
        <f>(E22*F22*$C$7*(1+$C$13/100))/$C$10</f>
        <v>0</v>
      </c>
      <c r="I22" s="145">
        <f>G22/$C$11</f>
        <v>0</v>
      </c>
      <c r="J22" s="145">
        <f>I22/$C$12</f>
        <v>0</v>
      </c>
      <c r="K22" s="145">
        <f>$C$14+1</f>
        <v>0</v>
      </c>
      <c r="L22" s="21">
        <f>J22*K22</f>
        <v>0</v>
      </c>
      <c r="M22" s="150">
        <f>$C$9*H22</f>
        <v>0</v>
      </c>
      <c r="N22" s="148">
        <f>M22/$C$11</f>
        <v>0</v>
      </c>
      <c r="O22" s="148">
        <f>E22*$C$13</f>
        <v>0</v>
      </c>
    </row>
    <row r="23" spans="1:18" s="9" customFormat="1" ht="18.600000000000001" customHeight="1">
      <c r="A23" s="429"/>
      <c r="B23" s="174"/>
      <c r="C23" s="142"/>
      <c r="D23" s="142"/>
      <c r="E23" s="200">
        <f>C23*D23</f>
        <v>0</v>
      </c>
      <c r="F23" s="142"/>
      <c r="G23" s="200">
        <f>'PROMEDIO DE CONSUMO'!B18*F23*$C$7*(1+$C$13/100)</f>
        <v>0</v>
      </c>
      <c r="H23" s="200">
        <f>(E23*F23*$C$7*(1+$C$13/100))/$C$10</f>
        <v>0</v>
      </c>
      <c r="I23" s="145">
        <f>G23/$C$11</f>
        <v>0</v>
      </c>
      <c r="J23" s="145">
        <f>I23/$C$12</f>
        <v>0</v>
      </c>
      <c r="K23" s="145">
        <f>$C$14+1</f>
        <v>0</v>
      </c>
      <c r="L23" s="21">
        <f>J23*K23</f>
        <v>0</v>
      </c>
      <c r="M23" s="150">
        <f>$C$9*H23</f>
        <v>0</v>
      </c>
      <c r="N23" s="148">
        <f>M23/$C$11</f>
        <v>0</v>
      </c>
      <c r="O23" s="148">
        <f>E23*$C$13</f>
        <v>0</v>
      </c>
    </row>
    <row r="24" spans="1:18" s="9" customFormat="1" ht="18.600000000000001" customHeight="1">
      <c r="A24" s="429"/>
      <c r="B24" s="174"/>
      <c r="C24" s="142"/>
      <c r="D24" s="142"/>
      <c r="E24" s="200">
        <f>C24*D24</f>
        <v>0</v>
      </c>
      <c r="F24" s="142"/>
      <c r="G24" s="200">
        <f>'PROMEDIO DE CONSUMO'!B19*F24*$C$7*(1+$C$13/100)</f>
        <v>0</v>
      </c>
      <c r="H24" s="200">
        <f>(E24*F24*$C$7*(1+$C$13/100))/$C$10</f>
        <v>0</v>
      </c>
      <c r="I24" s="145">
        <f>G24/$C$11</f>
        <v>0</v>
      </c>
      <c r="J24" s="145">
        <f>I24/$C$12</f>
        <v>0</v>
      </c>
      <c r="K24" s="145">
        <f>$C$14+1</f>
        <v>0</v>
      </c>
      <c r="L24" s="21">
        <f>J24*K24</f>
        <v>0</v>
      </c>
      <c r="M24" s="150">
        <f>$C$9*H24</f>
        <v>0</v>
      </c>
      <c r="N24" s="148">
        <f>M24/$C$11</f>
        <v>0</v>
      </c>
      <c r="O24" s="148">
        <f>E24*$C$13</f>
        <v>0</v>
      </c>
    </row>
    <row r="25" spans="1:18" s="9" customFormat="1" ht="18.600000000000001" customHeight="1">
      <c r="A25" s="429"/>
      <c r="B25" s="174"/>
      <c r="C25" s="142"/>
      <c r="D25" s="142"/>
      <c r="E25" s="200">
        <f>C25*D25</f>
        <v>0</v>
      </c>
      <c r="F25" s="142"/>
      <c r="G25" s="200">
        <f>'PROMEDIO DE CONSUMO'!B20*F25*$C$7*(1+$C$13/100)</f>
        <v>0</v>
      </c>
      <c r="H25" s="200">
        <f>(E25*F25*$C$7*(1+$C$13/100))/$C$10</f>
        <v>0</v>
      </c>
      <c r="I25" s="145">
        <f>G25/$C$11</f>
        <v>0</v>
      </c>
      <c r="J25" s="145">
        <f>I25/$C$12</f>
        <v>0</v>
      </c>
      <c r="K25" s="145">
        <f>$C$14+1</f>
        <v>0</v>
      </c>
      <c r="L25" s="21">
        <f>J25*K25</f>
        <v>0</v>
      </c>
      <c r="M25" s="150">
        <f>$C$9*H25</f>
        <v>0</v>
      </c>
      <c r="N25" s="148">
        <f>M25/$C$11</f>
        <v>0</v>
      </c>
      <c r="O25" s="148">
        <f>E25*$C$13</f>
        <v>0</v>
      </c>
    </row>
    <row r="26" spans="1:18" s="9" customFormat="1">
      <c r="A26" s="429"/>
    </row>
    <row r="27" spans="1:18" s="9" customFormat="1">
      <c r="A27" s="430"/>
      <c r="B27" s="24" t="s">
        <v>193</v>
      </c>
      <c r="C27" s="20">
        <f>AVERAGE(C21:C25)</f>
        <v>1</v>
      </c>
      <c r="D27" s="202"/>
      <c r="E27" s="202">
        <f>SUM(E21:E24)</f>
        <v>77308035.519125685</v>
      </c>
      <c r="F27" s="202">
        <f>AVERAGE(F21:F25)</f>
        <v>1</v>
      </c>
      <c r="G27" s="200">
        <f>SUM(G21:G26)</f>
        <v>93697339.049180329</v>
      </c>
      <c r="H27" s="280">
        <f>SUM(H21:H25)</f>
        <v>32499.944172452422</v>
      </c>
      <c r="I27" s="203">
        <f>G27/$C$11</f>
        <v>93697339.049180329</v>
      </c>
      <c r="J27" s="203">
        <f>I27/$C$12</f>
        <v>93697339.049180329</v>
      </c>
      <c r="K27" s="203">
        <f>$C$14+1</f>
        <v>0</v>
      </c>
      <c r="L27" s="202">
        <f>(J27*K27)</f>
        <v>0</v>
      </c>
      <c r="M27" s="150">
        <f>$C$9*H27</f>
        <v>20149965.386920501</v>
      </c>
      <c r="N27" s="148">
        <f>M27/$C$11</f>
        <v>20149965.386920501</v>
      </c>
      <c r="O27" s="148">
        <f>SUM(O21:O25)</f>
        <v>77308035.519125685</v>
      </c>
    </row>
    <row r="28" spans="1:18" s="9" customFormat="1">
      <c r="A28" s="50"/>
      <c r="B28" s="51"/>
      <c r="C28" s="52"/>
      <c r="D28" s="52"/>
      <c r="E28" s="52"/>
      <c r="F28" s="52"/>
      <c r="G28" s="52"/>
      <c r="H28" s="52"/>
      <c r="I28" s="52"/>
      <c r="J28" s="52"/>
      <c r="K28" s="52"/>
      <c r="L28" s="52"/>
    </row>
    <row r="29" spans="1:18">
      <c r="H29" s="176"/>
      <c r="M29" s="140"/>
      <c r="N29" s="140"/>
      <c r="O29" s="140"/>
      <c r="P29" s="140"/>
      <c r="Q29" s="140"/>
      <c r="R29" s="140"/>
    </row>
    <row r="30" spans="1:18" s="9" customFormat="1" ht="24.75" customHeight="1">
      <c r="A30" s="397" t="s">
        <v>147</v>
      </c>
      <c r="B30" s="394" t="s">
        <v>116</v>
      </c>
      <c r="C30" s="151" t="s">
        <v>260</v>
      </c>
      <c r="D30" s="385" t="s">
        <v>261</v>
      </c>
      <c r="E30" s="380"/>
      <c r="F30" s="380"/>
      <c r="G30" s="393"/>
      <c r="H30" s="176"/>
    </row>
    <row r="31" spans="1:18" s="9" customFormat="1">
      <c r="A31" s="365"/>
      <c r="B31" s="365"/>
      <c r="C31" s="20" t="s">
        <v>262</v>
      </c>
      <c r="D31" s="20" t="s">
        <v>235</v>
      </c>
      <c r="E31" s="20" t="s">
        <v>242</v>
      </c>
      <c r="F31" s="20" t="s">
        <v>257</v>
      </c>
      <c r="G31" s="20" t="s">
        <v>243</v>
      </c>
      <c r="I31" s="149"/>
      <c r="J31" s="149"/>
      <c r="K31" s="149"/>
      <c r="L31" s="149"/>
    </row>
    <row r="32" spans="1:18" s="9" customFormat="1"/>
    <row r="33" spans="1:7" s="9" customFormat="1" ht="19.8" customHeight="1">
      <c r="A33" s="428"/>
      <c r="B33" s="175" t="s">
        <v>263</v>
      </c>
      <c r="C33" s="204">
        <f>IF(MOD(CEILING(H27,1),2)=0, CEILING(H27,1), CEILING(H27,1)+1)</f>
        <v>32500</v>
      </c>
      <c r="D33" s="153">
        <f>C9</f>
        <v>620</v>
      </c>
      <c r="E33" s="153"/>
      <c r="F33" s="153"/>
      <c r="G33" s="153"/>
    </row>
    <row r="34" spans="1:7" s="9" customFormat="1" ht="18.600000000000001" customHeight="1">
      <c r="A34" s="429"/>
      <c r="B34" s="143" t="s">
        <v>264</v>
      </c>
      <c r="C34" s="152">
        <f>CEILING(L27,1)</f>
        <v>0</v>
      </c>
      <c r="D34" s="153"/>
      <c r="E34" s="153">
        <f>C11</f>
        <v>1</v>
      </c>
      <c r="F34" s="153"/>
      <c r="G34" s="153">
        <f>C12</f>
        <v>1</v>
      </c>
    </row>
    <row r="35" spans="1:7" s="9" customFormat="1" ht="19.5" customHeight="1">
      <c r="A35" s="429"/>
      <c r="B35" s="431" t="s">
        <v>265</v>
      </c>
      <c r="C35" s="434">
        <v>0</v>
      </c>
      <c r="D35" s="202">
        <f>M27</f>
        <v>20149965.386920501</v>
      </c>
      <c r="E35" s="153">
        <f>C11</f>
        <v>1</v>
      </c>
      <c r="F35" s="202">
        <f>D35/E35</f>
        <v>20149965.386920501</v>
      </c>
      <c r="G35" s="153"/>
    </row>
    <row r="36" spans="1:7" s="9" customFormat="1" ht="19.5" customHeight="1">
      <c r="A36" s="430"/>
      <c r="B36" s="430"/>
      <c r="C36" s="365"/>
      <c r="D36" s="202">
        <f>O27</f>
        <v>77308035.519125685</v>
      </c>
      <c r="E36" s="153"/>
      <c r="F36" s="153"/>
      <c r="G36" s="153"/>
    </row>
  </sheetData>
  <mergeCells count="24">
    <mergeCell ref="O17:O18"/>
    <mergeCell ref="H19:L19"/>
    <mergeCell ref="C17:G17"/>
    <mergeCell ref="B30:B31"/>
    <mergeCell ref="B3:D3"/>
    <mergeCell ref="B17:B19"/>
    <mergeCell ref="F9:G15"/>
    <mergeCell ref="M17:N18"/>
    <mergeCell ref="A1:L2"/>
    <mergeCell ref="I17:L18"/>
    <mergeCell ref="A33:A36"/>
    <mergeCell ref="H9:L15"/>
    <mergeCell ref="B35:B36"/>
    <mergeCell ref="A30:A31"/>
    <mergeCell ref="A16:L16"/>
    <mergeCell ref="A17:A19"/>
    <mergeCell ref="D19:E19"/>
    <mergeCell ref="E6:L7"/>
    <mergeCell ref="D30:G30"/>
    <mergeCell ref="B11:B12"/>
    <mergeCell ref="A21:A27"/>
    <mergeCell ref="C35:C36"/>
    <mergeCell ref="H17:H18"/>
    <mergeCell ref="E3:H5"/>
  </mergeCells>
  <conditionalFormatting sqref="E21:E25 G21:O25 J27:K27 M27:N27">
    <cfRule type="cellIs" dxfId="1" priority="2" stopIfTrue="1" operator="lessThanOrEqual">
      <formula>0</formula>
    </cfRule>
  </conditionalFormatting>
  <conditionalFormatting sqref="H27">
    <cfRule type="cellIs" dxfId="0" priority="1" stopIfTrue="1" operator="lessThanOrEqual">
      <formula>0</formula>
    </cfRule>
  </conditionalFormatting>
  <pageMargins left="0.75" right="0.75" top="1.902614379084967" bottom="1" header="0" footer="0"/>
  <pageSetup scale="47" orientation="portrait" horizontalDpi="300" verticalDpi="300"/>
  <headerFooter alignWithMargins="0">
    <oddHeader>&amp;C&amp;G</oddHeader>
    <oddFooter>&amp;CSERVICIOS DE AUTOMATIZACIÓN Y ASESORIA SAYA SA DE CV
Tel: (55)2789-5371/ (55)1163-8959
www.gruposaya.org</oddFooter>
  </headerFooter>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K29"/>
  <sheetViews>
    <sheetView topLeftCell="A2" zoomScale="70" zoomScaleNormal="70" zoomScalePageLayoutView="150" workbookViewId="0">
      <selection activeCell="B9" sqref="B9"/>
    </sheetView>
  </sheetViews>
  <sheetFormatPr baseColWidth="10" defaultColWidth="10.88671875" defaultRowHeight="13.2"/>
  <cols>
    <col min="1" max="1" width="18.6640625" bestFit="1" customWidth="1"/>
    <col min="2" max="2" width="53.6640625" customWidth="1"/>
    <col min="3" max="3" width="9.44140625" bestFit="1" customWidth="1"/>
    <col min="4" max="4" width="9.5546875" bestFit="1" customWidth="1"/>
    <col min="5" max="5" width="5.6640625" bestFit="1" customWidth="1"/>
    <col min="6" max="6" width="10.44140625" bestFit="1" customWidth="1"/>
    <col min="7" max="7" width="14.6640625" customWidth="1"/>
    <col min="8" max="8" width="4" customWidth="1"/>
    <col min="9" max="9" width="16.44140625" bestFit="1" customWidth="1"/>
    <col min="10" max="10" width="22.109375" bestFit="1" customWidth="1"/>
    <col min="11" max="11" width="14.88671875" bestFit="1" customWidth="1"/>
    <col min="12" max="256" width="9.109375" customWidth="1"/>
  </cols>
  <sheetData>
    <row r="1" spans="1:11" ht="15" customHeight="1" thickBot="1">
      <c r="A1" s="182"/>
      <c r="B1" s="182"/>
      <c r="C1" s="182"/>
      <c r="D1" s="182"/>
      <c r="E1" s="182"/>
      <c r="F1" s="182"/>
      <c r="G1" s="182"/>
      <c r="I1" s="213"/>
      <c r="J1" s="213"/>
      <c r="K1" s="213"/>
    </row>
    <row r="2" spans="1:11" ht="15" customHeight="1" thickBot="1">
      <c r="A2" s="183" t="s">
        <v>266</v>
      </c>
      <c r="B2" s="183" t="s">
        <v>267</v>
      </c>
      <c r="C2" s="183" t="s">
        <v>268</v>
      </c>
      <c r="D2" s="183" t="s">
        <v>269</v>
      </c>
      <c r="E2" s="184"/>
      <c r="F2" s="183" t="s">
        <v>270</v>
      </c>
      <c r="G2" s="183" t="s">
        <v>271</v>
      </c>
      <c r="I2" s="213"/>
      <c r="J2" s="213"/>
      <c r="K2" s="217" t="s">
        <v>272</v>
      </c>
    </row>
    <row r="3" spans="1:11">
      <c r="A3" s="206" t="s">
        <v>273</v>
      </c>
      <c r="B3" s="206" t="s">
        <v>274</v>
      </c>
      <c r="C3" s="207" t="s">
        <v>275</v>
      </c>
      <c r="D3" s="208">
        <v>1</v>
      </c>
      <c r="E3" s="187"/>
      <c r="F3" s="187"/>
      <c r="G3" s="187"/>
      <c r="I3" s="218" t="s">
        <v>276</v>
      </c>
      <c r="J3" s="219">
        <f>'CALCULO DE ENERGIA'!P7</f>
        <v>20150000</v>
      </c>
      <c r="K3" s="437">
        <f>J4/J3</f>
        <v>0.64644053995037221</v>
      </c>
    </row>
    <row r="4" spans="1:11" ht="13.8" customHeight="1" thickBot="1">
      <c r="A4" s="185" t="s">
        <v>277</v>
      </c>
      <c r="B4" s="185" t="s">
        <v>278</v>
      </c>
      <c r="C4" s="209"/>
      <c r="D4" s="187"/>
      <c r="E4" s="187"/>
      <c r="F4" s="187"/>
      <c r="G4" s="187"/>
      <c r="I4" s="220" t="s">
        <v>279</v>
      </c>
      <c r="J4" s="221">
        <f>$G$23</f>
        <v>13025776.879999999</v>
      </c>
      <c r="K4" s="405"/>
    </row>
    <row r="5" spans="1:11" ht="33.9" customHeight="1">
      <c r="A5" s="445" t="s">
        <v>280</v>
      </c>
      <c r="B5" s="375"/>
      <c r="C5" s="375"/>
      <c r="D5" s="375"/>
      <c r="E5" s="375"/>
      <c r="F5" s="375"/>
      <c r="G5" s="375"/>
      <c r="I5" s="213"/>
      <c r="J5" s="213"/>
      <c r="K5" s="213"/>
    </row>
    <row r="6" spans="1:11" ht="13.8" customHeight="1" thickBot="1">
      <c r="A6" s="186"/>
      <c r="B6" s="186"/>
      <c r="C6" s="186"/>
      <c r="D6" s="186"/>
      <c r="E6" s="186"/>
      <c r="F6" s="186"/>
      <c r="G6" s="186"/>
      <c r="I6" s="213"/>
      <c r="J6" s="213"/>
      <c r="K6" s="213"/>
    </row>
    <row r="7" spans="1:11">
      <c r="A7" s="210" t="s">
        <v>281</v>
      </c>
      <c r="B7" s="210"/>
      <c r="C7" s="210"/>
      <c r="D7" s="187"/>
      <c r="E7" s="187"/>
      <c r="F7" s="187"/>
      <c r="G7" s="187"/>
      <c r="I7" s="213"/>
      <c r="J7" s="267" t="s">
        <v>282</v>
      </c>
      <c r="K7" s="213"/>
    </row>
    <row r="8" spans="1:11" ht="13.8" customHeight="1" thickBot="1">
      <c r="A8" s="206"/>
      <c r="B8" s="284" t="s">
        <v>372</v>
      </c>
      <c r="C8" s="212" t="s">
        <v>283</v>
      </c>
      <c r="D8" s="324">
        <v>118</v>
      </c>
      <c r="E8" s="187"/>
      <c r="F8" s="205">
        <f>'CALCULO DE ENERGIA'!C33</f>
        <v>32500</v>
      </c>
      <c r="G8" s="188">
        <f>+F8*D8</f>
        <v>3835000</v>
      </c>
      <c r="H8" s="188"/>
      <c r="I8" s="222"/>
      <c r="J8" s="268">
        <f>(+F8*'CALCULO DE ENERGIA'!D33*0.8)/1000</f>
        <v>16120</v>
      </c>
      <c r="K8" s="213"/>
    </row>
    <row r="9" spans="1:11" ht="34.799999999999997" customHeight="1" thickBot="1">
      <c r="A9" s="154"/>
      <c r="B9" s="284" t="s">
        <v>284</v>
      </c>
      <c r="C9" s="212" t="s">
        <v>283</v>
      </c>
      <c r="D9" s="188">
        <v>190</v>
      </c>
      <c r="E9" s="187"/>
      <c r="F9" s="205">
        <f>+F8/4</f>
        <v>8125</v>
      </c>
      <c r="G9" s="188">
        <f>+F9*D9</f>
        <v>1543750</v>
      </c>
      <c r="H9" s="188"/>
      <c r="I9" s="222"/>
      <c r="J9" s="213"/>
      <c r="K9" s="213"/>
    </row>
    <row r="10" spans="1:11" ht="68.400000000000006" customHeight="1">
      <c r="A10" s="206"/>
      <c r="B10" s="284" t="s">
        <v>285</v>
      </c>
      <c r="C10" s="212" t="s">
        <v>286</v>
      </c>
      <c r="D10" s="190">
        <v>90</v>
      </c>
      <c r="E10" s="187"/>
      <c r="F10" s="205">
        <f>+F8</f>
        <v>32500</v>
      </c>
      <c r="G10" s="188">
        <f>+F10*D10</f>
        <v>2925000</v>
      </c>
      <c r="H10" s="188"/>
      <c r="I10" s="222"/>
      <c r="J10" s="267" t="s">
        <v>287</v>
      </c>
      <c r="K10" s="213"/>
    </row>
    <row r="11" spans="1:11" ht="23.4" customHeight="1" thickBot="1">
      <c r="A11" s="209">
        <v>2</v>
      </c>
      <c r="B11" s="284" t="s">
        <v>288</v>
      </c>
      <c r="C11" s="273" t="s">
        <v>283</v>
      </c>
      <c r="D11" s="323">
        <v>368</v>
      </c>
      <c r="E11" s="275"/>
      <c r="F11" s="276">
        <v>1</v>
      </c>
      <c r="G11" s="274">
        <f>+F11*D11</f>
        <v>368</v>
      </c>
      <c r="I11" s="222"/>
      <c r="J11" s="269">
        <f>+F8*'CALCULO DE ENERGIA'!D33/1000*8/1.3</f>
        <v>124000</v>
      </c>
      <c r="K11" s="213"/>
    </row>
    <row r="12" spans="1:11">
      <c r="A12" s="154"/>
      <c r="B12" s="154"/>
      <c r="C12" s="273"/>
      <c r="D12" s="281"/>
      <c r="E12" s="275"/>
      <c r="F12" s="276"/>
      <c r="G12" s="274"/>
      <c r="I12" s="222"/>
      <c r="J12" s="278"/>
      <c r="K12" s="213"/>
    </row>
    <row r="13" spans="1:11" ht="13.8" customHeight="1" thickBot="1">
      <c r="A13" s="154"/>
      <c r="C13" s="273"/>
      <c r="D13" s="274"/>
      <c r="E13" s="275"/>
      <c r="F13" s="276"/>
      <c r="G13" s="274"/>
      <c r="I13" s="222"/>
      <c r="J13" s="223"/>
      <c r="K13" s="213"/>
    </row>
    <row r="14" spans="1:11" ht="12.6" customHeight="1">
      <c r="A14" s="185" t="s">
        <v>289</v>
      </c>
      <c r="B14" s="210" t="s">
        <v>281</v>
      </c>
      <c r="C14" s="210"/>
      <c r="D14" s="188"/>
      <c r="E14" s="187"/>
      <c r="F14" s="189"/>
      <c r="G14" s="191">
        <f>SUM(G8:G13)</f>
        <v>8304118</v>
      </c>
      <c r="I14" s="439" t="s">
        <v>290</v>
      </c>
      <c r="J14" s="408"/>
      <c r="K14" s="409"/>
    </row>
    <row r="15" spans="1:11" ht="12.6" customHeight="1">
      <c r="A15" s="185"/>
      <c r="B15" s="210"/>
      <c r="C15" s="210"/>
      <c r="D15" s="188"/>
      <c r="E15" s="187"/>
      <c r="F15" s="187" t="s">
        <v>193</v>
      </c>
      <c r="G15" s="191">
        <f>+G14</f>
        <v>8304118</v>
      </c>
      <c r="I15" s="410"/>
      <c r="J15" s="375"/>
      <c r="K15" s="411"/>
    </row>
    <row r="16" spans="1:11" ht="12.9" customHeight="1">
      <c r="A16" s="185" t="s">
        <v>291</v>
      </c>
      <c r="B16" s="211"/>
      <c r="C16" s="212"/>
      <c r="D16" s="188"/>
      <c r="E16" s="187"/>
      <c r="F16" s="189"/>
      <c r="G16" s="188"/>
      <c r="I16" s="410"/>
      <c r="J16" s="375"/>
      <c r="K16" s="411"/>
    </row>
    <row r="17" spans="1:11" ht="45.6" customHeight="1">
      <c r="A17" s="206" t="s">
        <v>292</v>
      </c>
      <c r="B17" s="284" t="s">
        <v>293</v>
      </c>
      <c r="C17" s="212" t="s">
        <v>283</v>
      </c>
      <c r="D17" s="190">
        <v>90</v>
      </c>
      <c r="E17" s="187"/>
      <c r="F17" s="205">
        <f>+F10</f>
        <v>32500</v>
      </c>
      <c r="G17" s="188">
        <f>+F17*D17</f>
        <v>2925000</v>
      </c>
      <c r="I17" s="410"/>
      <c r="J17" s="375"/>
      <c r="K17" s="411"/>
    </row>
    <row r="18" spans="1:11" ht="45.6" customHeight="1">
      <c r="A18" s="206"/>
      <c r="B18" s="284" t="s">
        <v>294</v>
      </c>
      <c r="C18" s="212"/>
      <c r="D18" s="190">
        <v>1500</v>
      </c>
      <c r="F18" s="205">
        <v>1</v>
      </c>
      <c r="G18" s="190"/>
      <c r="I18" s="410"/>
      <c r="J18" s="375"/>
      <c r="K18" s="411"/>
    </row>
    <row r="19" spans="1:11">
      <c r="A19" s="185" t="s">
        <v>193</v>
      </c>
      <c r="B19" s="210" t="s">
        <v>291</v>
      </c>
      <c r="C19" s="210"/>
      <c r="D19" s="188"/>
      <c r="E19" s="187"/>
      <c r="F19" s="189"/>
      <c r="G19" s="191">
        <f>SUM(G17:G18)</f>
        <v>2925000</v>
      </c>
      <c r="I19" s="410"/>
      <c r="J19" s="375"/>
      <c r="K19" s="411"/>
    </row>
    <row r="20" spans="1:11">
      <c r="A20" s="185"/>
      <c r="B20" s="441"/>
      <c r="C20" s="375"/>
      <c r="D20" s="375"/>
      <c r="E20" s="375"/>
      <c r="F20" s="189"/>
      <c r="G20" s="191"/>
      <c r="I20" s="410"/>
      <c r="J20" s="375"/>
      <c r="K20" s="411"/>
    </row>
    <row r="21" spans="1:11" ht="13.8" customHeight="1" thickBot="1">
      <c r="A21" s="185"/>
      <c r="B21" s="210"/>
      <c r="C21" s="210"/>
      <c r="D21" s="188"/>
      <c r="E21" s="187"/>
      <c r="F21" s="187" t="s">
        <v>193</v>
      </c>
      <c r="G21" s="191">
        <f>+G15+G19</f>
        <v>11229118</v>
      </c>
      <c r="I21" s="412"/>
      <c r="J21" s="413"/>
      <c r="K21" s="414"/>
    </row>
    <row r="22" spans="1:11">
      <c r="A22" s="213"/>
      <c r="B22" s="213"/>
      <c r="C22" s="188"/>
      <c r="D22" s="188"/>
      <c r="E22" s="188"/>
      <c r="F22" s="213" t="s">
        <v>295</v>
      </c>
      <c r="G22" s="214">
        <f>(G21*1.16)-G21</f>
        <v>1796658.879999999</v>
      </c>
    </row>
    <row r="23" spans="1:11" ht="13.8" customHeight="1" thickBot="1">
      <c r="A23" s="213"/>
      <c r="B23" s="213"/>
      <c r="C23" s="188"/>
      <c r="D23" s="188"/>
      <c r="E23" s="188"/>
      <c r="F23" s="213" t="s">
        <v>296</v>
      </c>
      <c r="G23" s="214">
        <f>G21*1.16</f>
        <v>13025776.879999999</v>
      </c>
    </row>
    <row r="24" spans="1:11" ht="12.6" customHeight="1">
      <c r="A24" s="213"/>
      <c r="B24" s="213"/>
      <c r="C24" s="188"/>
      <c r="D24" s="188"/>
      <c r="E24" s="188"/>
      <c r="F24" s="444" t="s">
        <v>297</v>
      </c>
      <c r="G24" s="263"/>
      <c r="H24" s="443" t="s">
        <v>298</v>
      </c>
      <c r="I24" s="408"/>
      <c r="J24" s="408"/>
      <c r="K24" s="409"/>
    </row>
    <row r="25" spans="1:11" ht="12.6" customHeight="1" thickBot="1">
      <c r="A25" s="213"/>
      <c r="B25" s="213"/>
      <c r="C25" s="188"/>
      <c r="D25" s="213"/>
      <c r="E25" s="213"/>
      <c r="F25" s="412"/>
      <c r="G25" s="264">
        <v>18.72</v>
      </c>
      <c r="H25" s="412"/>
      <c r="I25" s="413"/>
      <c r="J25" s="413"/>
      <c r="K25" s="414"/>
    </row>
    <row r="26" spans="1:11">
      <c r="A26" s="213"/>
      <c r="B26" s="213"/>
      <c r="C26" s="188"/>
      <c r="D26" s="188"/>
      <c r="E26" s="188"/>
      <c r="F26" s="213" t="s">
        <v>299</v>
      </c>
      <c r="G26" s="215">
        <f>+G25*G23</f>
        <v>243842543.19359997</v>
      </c>
    </row>
    <row r="27" spans="1:11" ht="13.8" customHeight="1" thickBot="1">
      <c r="A27" s="213"/>
      <c r="B27" s="213"/>
      <c r="C27" s="188"/>
      <c r="D27" s="188"/>
      <c r="E27" s="440"/>
      <c r="F27" s="375"/>
      <c r="G27" s="213"/>
    </row>
    <row r="28" spans="1:11" ht="15" customHeight="1" thickBot="1">
      <c r="A28" s="265" t="s">
        <v>300</v>
      </c>
      <c r="B28" s="266">
        <v>0.32</v>
      </c>
      <c r="C28" s="216"/>
      <c r="D28" s="216"/>
      <c r="E28" s="216"/>
      <c r="F28" s="216"/>
      <c r="G28" s="335">
        <f>PRODUCT(F8,9100)</f>
        <v>295750000</v>
      </c>
    </row>
    <row r="29" spans="1:11">
      <c r="A29" s="442"/>
      <c r="B29" s="375"/>
      <c r="C29" s="375"/>
      <c r="D29" s="192"/>
      <c r="E29" s="438"/>
      <c r="F29" s="375"/>
      <c r="G29" s="192"/>
    </row>
  </sheetData>
  <mergeCells count="9">
    <mergeCell ref="K3:K4"/>
    <mergeCell ref="E29:F29"/>
    <mergeCell ref="I14:K21"/>
    <mergeCell ref="E27:F27"/>
    <mergeCell ref="B20:E20"/>
    <mergeCell ref="A29:C29"/>
    <mergeCell ref="H24:K25"/>
    <mergeCell ref="F24:F25"/>
    <mergeCell ref="A5:G5"/>
  </mergeCells>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L38"/>
  <sheetViews>
    <sheetView topLeftCell="B1" zoomScaleNormal="100" zoomScalePageLayoutView="150" workbookViewId="0">
      <selection activeCell="G7" sqref="G7"/>
    </sheetView>
  </sheetViews>
  <sheetFormatPr baseColWidth="10" defaultColWidth="10.88671875" defaultRowHeight="13.2"/>
  <cols>
    <col min="1" max="1" width="34.6640625" bestFit="1" customWidth="1"/>
    <col min="2" max="2" width="13.88671875" customWidth="1"/>
    <col min="3" max="3" width="12.109375" customWidth="1"/>
    <col min="4" max="4" width="20.33203125" bestFit="1" customWidth="1"/>
    <col min="5" max="5" width="9.109375" customWidth="1"/>
    <col min="6" max="6" width="8.6640625" bestFit="1" customWidth="1"/>
    <col min="7" max="7" width="11.33203125" style="231" bestFit="1" customWidth="1"/>
    <col min="8" max="8" width="16.44140625" style="231" bestFit="1" customWidth="1"/>
    <col min="9" max="9" width="11.44140625" customWidth="1"/>
    <col min="10" max="10" width="11" bestFit="1" customWidth="1"/>
    <col min="11" max="11" width="11.33203125" bestFit="1" customWidth="1"/>
    <col min="12" max="257" width="9.109375" customWidth="1"/>
  </cols>
  <sheetData>
    <row r="1" spans="1:12" ht="12.6" customHeight="1">
      <c r="A1" s="407" t="s">
        <v>301</v>
      </c>
      <c r="B1" s="408"/>
      <c r="C1" s="408"/>
      <c r="D1" s="409"/>
      <c r="E1" s="446" t="s">
        <v>302</v>
      </c>
      <c r="F1" s="408"/>
      <c r="G1" s="408"/>
      <c r="H1" s="409"/>
    </row>
    <row r="2" spans="1:12" ht="12.6" customHeight="1">
      <c r="A2" s="410"/>
      <c r="B2" s="375"/>
      <c r="C2" s="375"/>
      <c r="D2" s="411"/>
      <c r="E2" s="410"/>
      <c r="F2" s="375"/>
      <c r="G2" s="447"/>
      <c r="H2" s="411"/>
    </row>
    <row r="3" spans="1:12" ht="12.6" customHeight="1">
      <c r="A3" s="410"/>
      <c r="B3" s="375"/>
      <c r="C3" s="375"/>
      <c r="D3" s="411"/>
      <c r="E3" s="410"/>
      <c r="F3" s="375"/>
      <c r="G3" s="447"/>
      <c r="H3" s="411"/>
    </row>
    <row r="4" spans="1:12" ht="12.6" customHeight="1">
      <c r="A4" s="410"/>
      <c r="B4" s="375"/>
      <c r="C4" s="375"/>
      <c r="D4" s="411"/>
      <c r="E4" s="410"/>
      <c r="F4" s="375"/>
      <c r="G4" s="447"/>
      <c r="H4" s="411"/>
    </row>
    <row r="5" spans="1:12" ht="12.9" customHeight="1" thickBot="1">
      <c r="A5" s="412"/>
      <c r="B5" s="413"/>
      <c r="C5" s="413"/>
      <c r="D5" s="414"/>
      <c r="E5" s="412"/>
      <c r="F5" s="413"/>
      <c r="G5" s="413"/>
      <c r="H5" s="414"/>
    </row>
    <row r="6" spans="1:12" ht="14.4" customHeight="1">
      <c r="A6" s="277" t="s">
        <v>303</v>
      </c>
      <c r="B6" s="277" t="s">
        <v>304</v>
      </c>
      <c r="C6" s="277" t="s">
        <v>305</v>
      </c>
      <c r="D6" s="277" t="s">
        <v>306</v>
      </c>
      <c r="F6" s="182" t="s">
        <v>307</v>
      </c>
      <c r="G6" s="244">
        <v>0.09</v>
      </c>
      <c r="H6" s="245"/>
      <c r="I6" s="246"/>
      <c r="J6" s="245" t="s">
        <v>308</v>
      </c>
      <c r="K6" s="247">
        <f>B8</f>
        <v>295750000</v>
      </c>
      <c r="L6" s="248">
        <f>+K6/1000</f>
        <v>295750</v>
      </c>
    </row>
    <row r="7" spans="1:12" ht="13.8" customHeight="1">
      <c r="A7" s="193" t="s">
        <v>309</v>
      </c>
      <c r="B7" s="194">
        <f>'PROMEDIO DE CONSUMO'!C18</f>
        <v>0</v>
      </c>
      <c r="C7" s="194">
        <f>B7/COTIZACIÓN!G25</f>
        <v>0</v>
      </c>
      <c r="D7" s="252" t="e">
        <f>+B8/B7</f>
        <v>#DIV/0!</v>
      </c>
      <c r="F7" s="248"/>
      <c r="G7" s="247">
        <v>0.6</v>
      </c>
      <c r="H7" s="245"/>
      <c r="I7" s="245"/>
      <c r="J7" s="245"/>
      <c r="K7" s="248"/>
      <c r="L7" s="248"/>
    </row>
    <row r="8" spans="1:12" ht="14.4" customHeight="1">
      <c r="A8" s="193" t="s">
        <v>310</v>
      </c>
      <c r="B8" s="194">
        <f>COTIZACIÓN!$G$28</f>
        <v>295750000</v>
      </c>
      <c r="C8" s="194">
        <f>B8/COTIZACIÓN!G25</f>
        <v>15798611.111111112</v>
      </c>
      <c r="F8" s="182" t="s">
        <v>311</v>
      </c>
      <c r="G8" s="244" t="s">
        <v>312</v>
      </c>
      <c r="H8" s="245" t="s">
        <v>313</v>
      </c>
      <c r="I8" s="245" t="s">
        <v>314</v>
      </c>
      <c r="J8" s="245" t="s">
        <v>315</v>
      </c>
      <c r="K8" s="249" t="e">
        <f>IRR(J9:J34)</f>
        <v>#NUM!</v>
      </c>
      <c r="L8" s="245" t="s">
        <v>311</v>
      </c>
    </row>
    <row r="9" spans="1:12" ht="14.4" customHeight="1">
      <c r="B9" t="s">
        <v>305</v>
      </c>
      <c r="D9" s="285"/>
      <c r="F9" s="230">
        <v>0</v>
      </c>
      <c r="G9" s="250"/>
      <c r="H9" s="250"/>
      <c r="I9" s="250"/>
      <c r="J9" s="250">
        <f>-I10</f>
        <v>-295750</v>
      </c>
      <c r="K9" s="248"/>
      <c r="L9" s="248">
        <f t="shared" ref="L9:L34" si="0">+F9</f>
        <v>0</v>
      </c>
    </row>
    <row r="10" spans="1:12" ht="14.4" customHeight="1">
      <c r="A10" s="193" t="s">
        <v>316</v>
      </c>
      <c r="B10" s="194" t="e">
        <f>(25-D7)*C7</f>
        <v>#DIV/0!</v>
      </c>
      <c r="F10" s="230">
        <v>1</v>
      </c>
      <c r="G10" s="250">
        <f>+B7/1000</f>
        <v>0</v>
      </c>
      <c r="H10" s="250">
        <f>G10</f>
        <v>0</v>
      </c>
      <c r="I10" s="250">
        <f t="shared" ref="I10:I34" si="1">+$K$6/1000</f>
        <v>295750</v>
      </c>
      <c r="J10" s="250">
        <f t="shared" ref="J10:J34" si="2">+G10</f>
        <v>0</v>
      </c>
      <c r="K10" s="251"/>
      <c r="L10" s="248">
        <f t="shared" si="0"/>
        <v>1</v>
      </c>
    </row>
    <row r="11" spans="1:12" ht="14.4" customHeight="1">
      <c r="A11" s="193" t="s">
        <v>317</v>
      </c>
      <c r="B11" s="194">
        <f>+C8</f>
        <v>15798611.111111112</v>
      </c>
      <c r="F11" s="230">
        <v>2</v>
      </c>
      <c r="G11" s="250">
        <f t="shared" ref="G11:G34" si="3">+G10*(1+$G$6)</f>
        <v>0</v>
      </c>
      <c r="H11" s="250">
        <f t="shared" ref="H11:H34" si="4">G11+H10</f>
        <v>0</v>
      </c>
      <c r="I11" s="250">
        <f t="shared" si="1"/>
        <v>295750</v>
      </c>
      <c r="J11" s="250">
        <f t="shared" si="2"/>
        <v>0</v>
      </c>
      <c r="K11" s="251"/>
      <c r="L11" s="248">
        <f t="shared" si="0"/>
        <v>2</v>
      </c>
    </row>
    <row r="12" spans="1:12" ht="15" customHeight="1" thickBot="1">
      <c r="F12" s="230">
        <v>3</v>
      </c>
      <c r="G12" s="250">
        <f t="shared" si="3"/>
        <v>0</v>
      </c>
      <c r="H12" s="250">
        <f t="shared" si="4"/>
        <v>0</v>
      </c>
      <c r="I12" s="250">
        <f t="shared" si="1"/>
        <v>295750</v>
      </c>
      <c r="J12" s="250">
        <f t="shared" si="2"/>
        <v>0</v>
      </c>
      <c r="K12" s="251"/>
      <c r="L12" s="248">
        <f t="shared" si="0"/>
        <v>3</v>
      </c>
    </row>
    <row r="13" spans="1:12" ht="14.4" customHeight="1">
      <c r="A13" s="448" t="s">
        <v>318</v>
      </c>
      <c r="B13" s="449"/>
      <c r="C13" s="449"/>
      <c r="D13" s="450"/>
      <c r="F13" s="230">
        <v>4</v>
      </c>
      <c r="G13" s="250">
        <f t="shared" si="3"/>
        <v>0</v>
      </c>
      <c r="H13" s="250">
        <f t="shared" si="4"/>
        <v>0</v>
      </c>
      <c r="I13" s="250">
        <f t="shared" si="1"/>
        <v>295750</v>
      </c>
      <c r="J13" s="250">
        <f t="shared" si="2"/>
        <v>0</v>
      </c>
      <c r="K13" s="251"/>
      <c r="L13" s="248">
        <f t="shared" si="0"/>
        <v>4</v>
      </c>
    </row>
    <row r="14" spans="1:12" ht="14.4" customHeight="1">
      <c r="A14" s="239" t="s">
        <v>319</v>
      </c>
      <c r="B14" s="193">
        <v>100</v>
      </c>
      <c r="C14" s="193">
        <v>2.2869999999999999</v>
      </c>
      <c r="D14" s="240">
        <v>228.7</v>
      </c>
      <c r="F14" s="230">
        <v>5</v>
      </c>
      <c r="G14" s="250">
        <f t="shared" si="3"/>
        <v>0</v>
      </c>
      <c r="H14" s="250">
        <f t="shared" si="4"/>
        <v>0</v>
      </c>
      <c r="I14" s="250">
        <f t="shared" si="1"/>
        <v>295750</v>
      </c>
      <c r="J14" s="250">
        <f t="shared" si="2"/>
        <v>0</v>
      </c>
      <c r="K14" s="251"/>
      <c r="L14" s="248">
        <f t="shared" si="0"/>
        <v>5</v>
      </c>
    </row>
    <row r="15" spans="1:12" ht="14.4" customHeight="1">
      <c r="A15" s="239" t="s">
        <v>320</v>
      </c>
      <c r="B15" s="193">
        <v>100</v>
      </c>
      <c r="C15" s="193">
        <v>2.7610000000000001</v>
      </c>
      <c r="D15" s="240">
        <v>276.10000000000002</v>
      </c>
      <c r="F15" s="230">
        <v>6</v>
      </c>
      <c r="G15" s="250">
        <f t="shared" si="3"/>
        <v>0</v>
      </c>
      <c r="H15" s="250">
        <f t="shared" si="4"/>
        <v>0</v>
      </c>
      <c r="I15" s="250">
        <f t="shared" si="1"/>
        <v>295750</v>
      </c>
      <c r="J15" s="250">
        <f t="shared" si="2"/>
        <v>0</v>
      </c>
      <c r="K15" s="251"/>
      <c r="L15" s="248">
        <f t="shared" si="0"/>
        <v>6</v>
      </c>
    </row>
    <row r="16" spans="1:12" ht="14.4" customHeight="1">
      <c r="A16" s="239" t="s">
        <v>321</v>
      </c>
      <c r="B16" s="193">
        <v>2</v>
      </c>
      <c r="C16" s="193">
        <v>52.78</v>
      </c>
      <c r="D16" s="240">
        <f>B16*C16</f>
        <v>105.56</v>
      </c>
      <c r="F16" s="230">
        <v>7</v>
      </c>
      <c r="G16" s="250">
        <f t="shared" si="3"/>
        <v>0</v>
      </c>
      <c r="H16" s="250">
        <f t="shared" si="4"/>
        <v>0</v>
      </c>
      <c r="I16" s="250">
        <f t="shared" si="1"/>
        <v>295750</v>
      </c>
      <c r="J16" s="250">
        <f t="shared" si="2"/>
        <v>0</v>
      </c>
      <c r="K16" s="251"/>
      <c r="L16" s="248">
        <f t="shared" si="0"/>
        <v>7</v>
      </c>
    </row>
    <row r="17" spans="1:12" ht="15" customHeight="1" thickBot="1">
      <c r="A17" s="241"/>
      <c r="B17" s="242"/>
      <c r="C17" s="242"/>
      <c r="D17" s="243">
        <f>SUM(D14:D16)</f>
        <v>610.36</v>
      </c>
      <c r="F17" s="230">
        <v>8</v>
      </c>
      <c r="G17" s="250">
        <f t="shared" si="3"/>
        <v>0</v>
      </c>
      <c r="H17" s="250">
        <f t="shared" si="4"/>
        <v>0</v>
      </c>
      <c r="I17" s="250">
        <f t="shared" si="1"/>
        <v>295750</v>
      </c>
      <c r="J17" s="250">
        <f t="shared" si="2"/>
        <v>0</v>
      </c>
      <c r="K17" s="251"/>
      <c r="L17" s="248">
        <f t="shared" si="0"/>
        <v>8</v>
      </c>
    </row>
    <row r="18" spans="1:12" ht="14.4" customHeight="1">
      <c r="A18" s="448" t="s">
        <v>322</v>
      </c>
      <c r="B18" s="449"/>
      <c r="C18" s="449"/>
      <c r="D18" s="450"/>
      <c r="F18" s="230">
        <v>9</v>
      </c>
      <c r="G18" s="250">
        <f t="shared" si="3"/>
        <v>0</v>
      </c>
      <c r="H18" s="250">
        <f t="shared" si="4"/>
        <v>0</v>
      </c>
      <c r="I18" s="250">
        <f t="shared" si="1"/>
        <v>295750</v>
      </c>
      <c r="J18" s="250">
        <f t="shared" si="2"/>
        <v>0</v>
      </c>
      <c r="K18" s="251"/>
      <c r="L18" s="248">
        <f t="shared" si="0"/>
        <v>9</v>
      </c>
    </row>
    <row r="19" spans="1:12" ht="14.4" customHeight="1">
      <c r="A19" s="239" t="s">
        <v>323</v>
      </c>
      <c r="B19" s="193">
        <v>2521</v>
      </c>
      <c r="C19" s="193">
        <v>1.244</v>
      </c>
      <c r="D19" s="240">
        <f>B19*C19</f>
        <v>3136.1239999999998</v>
      </c>
      <c r="F19" s="230">
        <v>10</v>
      </c>
      <c r="G19" s="250">
        <f t="shared" si="3"/>
        <v>0</v>
      </c>
      <c r="H19" s="250">
        <f t="shared" si="4"/>
        <v>0</v>
      </c>
      <c r="I19" s="250">
        <f t="shared" si="1"/>
        <v>295750</v>
      </c>
      <c r="J19" s="250">
        <f t="shared" si="2"/>
        <v>0</v>
      </c>
      <c r="K19" s="251"/>
      <c r="L19" s="248">
        <f t="shared" si="0"/>
        <v>10</v>
      </c>
    </row>
    <row r="20" spans="1:12" ht="14.4" customHeight="1">
      <c r="A20" s="239" t="s">
        <v>324</v>
      </c>
      <c r="B20" s="193">
        <f>7261*0.7</f>
        <v>5082.7</v>
      </c>
      <c r="C20" s="193">
        <v>1.3449</v>
      </c>
      <c r="D20" s="240">
        <f>B20*C20</f>
        <v>6835.7232299999996</v>
      </c>
      <c r="F20" s="230">
        <v>11</v>
      </c>
      <c r="G20" s="250">
        <f t="shared" si="3"/>
        <v>0</v>
      </c>
      <c r="H20" s="250">
        <f t="shared" si="4"/>
        <v>0</v>
      </c>
      <c r="I20" s="250">
        <f t="shared" si="1"/>
        <v>295750</v>
      </c>
      <c r="J20" s="250">
        <f t="shared" si="2"/>
        <v>0</v>
      </c>
      <c r="K20" s="251"/>
      <c r="L20" s="248">
        <f t="shared" si="0"/>
        <v>11</v>
      </c>
    </row>
    <row r="21" spans="1:12" ht="14.4" customHeight="1">
      <c r="A21" s="239" t="s">
        <v>325</v>
      </c>
      <c r="B21" s="193">
        <v>645</v>
      </c>
      <c r="C21" s="193">
        <v>2.1722999999999999</v>
      </c>
      <c r="D21" s="240">
        <f>B21*C21</f>
        <v>1401.1334999999999</v>
      </c>
      <c r="F21" s="230">
        <v>12</v>
      </c>
      <c r="G21" s="250">
        <f t="shared" si="3"/>
        <v>0</v>
      </c>
      <c r="H21" s="250">
        <f t="shared" si="4"/>
        <v>0</v>
      </c>
      <c r="I21" s="250">
        <f t="shared" si="1"/>
        <v>295750</v>
      </c>
      <c r="J21" s="250">
        <f t="shared" si="2"/>
        <v>0</v>
      </c>
      <c r="K21" s="251"/>
      <c r="L21" s="248">
        <f t="shared" si="0"/>
        <v>12</v>
      </c>
    </row>
    <row r="22" spans="1:12" ht="15" customHeight="1" thickBot="1">
      <c r="A22" s="241"/>
      <c r="B22" s="242"/>
      <c r="C22" s="242"/>
      <c r="D22" s="243">
        <f>SUM(D19:D21)</f>
        <v>11372.980729999999</v>
      </c>
      <c r="F22" s="230">
        <v>13</v>
      </c>
      <c r="G22" s="250">
        <f t="shared" si="3"/>
        <v>0</v>
      </c>
      <c r="H22" s="250">
        <f t="shared" si="4"/>
        <v>0</v>
      </c>
      <c r="I22" s="250">
        <f t="shared" si="1"/>
        <v>295750</v>
      </c>
      <c r="J22" s="250">
        <f t="shared" si="2"/>
        <v>0</v>
      </c>
      <c r="K22" s="251"/>
      <c r="L22" s="248">
        <f t="shared" si="0"/>
        <v>13</v>
      </c>
    </row>
    <row r="23" spans="1:12" ht="14.4" customHeight="1">
      <c r="A23" s="451" t="s">
        <v>326</v>
      </c>
      <c r="B23" s="452"/>
      <c r="C23" s="452"/>
      <c r="D23" s="453"/>
      <c r="F23" s="230">
        <v>14</v>
      </c>
      <c r="G23" s="250">
        <f t="shared" si="3"/>
        <v>0</v>
      </c>
      <c r="H23" s="250">
        <f t="shared" si="4"/>
        <v>0</v>
      </c>
      <c r="I23" s="250">
        <f t="shared" si="1"/>
        <v>295750</v>
      </c>
      <c r="J23" s="250">
        <f t="shared" si="2"/>
        <v>0</v>
      </c>
      <c r="K23" s="251"/>
      <c r="L23" s="248">
        <f t="shared" si="0"/>
        <v>14</v>
      </c>
    </row>
    <row r="24" spans="1:12" ht="14.4" customHeight="1">
      <c r="A24" s="239" t="s">
        <v>319</v>
      </c>
      <c r="B24" s="193">
        <v>100</v>
      </c>
      <c r="C24" s="193">
        <v>2.2869999999999999</v>
      </c>
      <c r="D24" s="240">
        <f>B24*C24</f>
        <v>228.7</v>
      </c>
      <c r="F24" s="230">
        <v>15</v>
      </c>
      <c r="G24" s="250">
        <f t="shared" si="3"/>
        <v>0</v>
      </c>
      <c r="H24" s="250">
        <f t="shared" si="4"/>
        <v>0</v>
      </c>
      <c r="I24" s="250">
        <f t="shared" si="1"/>
        <v>295750</v>
      </c>
      <c r="J24" s="250">
        <f t="shared" si="2"/>
        <v>0</v>
      </c>
      <c r="K24" s="251"/>
      <c r="L24" s="248">
        <f t="shared" si="0"/>
        <v>15</v>
      </c>
    </row>
    <row r="25" spans="1:12" ht="14.4" customHeight="1">
      <c r="A25" s="239" t="s">
        <v>320</v>
      </c>
      <c r="B25" s="193">
        <v>100</v>
      </c>
      <c r="C25" s="193">
        <v>2.7610000000000001</v>
      </c>
      <c r="D25" s="240">
        <f>B25*C25</f>
        <v>276.10000000000002</v>
      </c>
      <c r="F25" s="230">
        <v>16</v>
      </c>
      <c r="G25" s="250">
        <f t="shared" si="3"/>
        <v>0</v>
      </c>
      <c r="H25" s="250">
        <f t="shared" si="4"/>
        <v>0</v>
      </c>
      <c r="I25" s="250">
        <f t="shared" si="1"/>
        <v>295750</v>
      </c>
      <c r="J25" s="250">
        <f t="shared" si="2"/>
        <v>0</v>
      </c>
      <c r="K25" s="251"/>
      <c r="L25" s="248">
        <f t="shared" si="0"/>
        <v>16</v>
      </c>
    </row>
    <row r="26" spans="1:12" ht="14.4" customHeight="1">
      <c r="A26" s="239" t="s">
        <v>321</v>
      </c>
      <c r="B26" s="193">
        <v>2</v>
      </c>
      <c r="C26" s="193">
        <v>52.78</v>
      </c>
      <c r="D26" s="240">
        <f>B26*C26</f>
        <v>105.56</v>
      </c>
      <c r="F26" s="230">
        <v>17</v>
      </c>
      <c r="G26" s="250">
        <f t="shared" si="3"/>
        <v>0</v>
      </c>
      <c r="H26" s="250">
        <f t="shared" si="4"/>
        <v>0</v>
      </c>
      <c r="I26" s="250">
        <f t="shared" si="1"/>
        <v>295750</v>
      </c>
      <c r="J26" s="250">
        <f t="shared" si="2"/>
        <v>0</v>
      </c>
      <c r="K26" s="251"/>
      <c r="L26" s="248">
        <f t="shared" si="0"/>
        <v>17</v>
      </c>
    </row>
    <row r="27" spans="1:12" ht="14.4" customHeight="1">
      <c r="A27" s="239" t="s">
        <v>327</v>
      </c>
      <c r="B27" s="193">
        <v>9245</v>
      </c>
      <c r="C27" s="193">
        <v>3.04</v>
      </c>
      <c r="D27" s="240">
        <f>B27*C27</f>
        <v>28104.799999999999</v>
      </c>
      <c r="F27" s="230">
        <v>18</v>
      </c>
      <c r="G27" s="250">
        <f t="shared" si="3"/>
        <v>0</v>
      </c>
      <c r="H27" s="250">
        <f t="shared" si="4"/>
        <v>0</v>
      </c>
      <c r="I27" s="250">
        <f t="shared" si="1"/>
        <v>295750</v>
      </c>
      <c r="J27" s="250">
        <f t="shared" si="2"/>
        <v>0</v>
      </c>
      <c r="K27" s="251"/>
      <c r="L27" s="248">
        <f t="shared" si="0"/>
        <v>18</v>
      </c>
    </row>
    <row r="28" spans="1:12" ht="15" customHeight="1" thickBot="1">
      <c r="A28" s="241"/>
      <c r="B28" s="242"/>
      <c r="C28" s="242"/>
      <c r="D28" s="243">
        <f>SUM(D24:D27)</f>
        <v>28715.16</v>
      </c>
      <c r="F28" s="230">
        <v>19</v>
      </c>
      <c r="G28" s="250">
        <f t="shared" si="3"/>
        <v>0</v>
      </c>
      <c r="H28" s="250">
        <f t="shared" si="4"/>
        <v>0</v>
      </c>
      <c r="I28" s="250">
        <f t="shared" si="1"/>
        <v>295750</v>
      </c>
      <c r="J28" s="250">
        <f t="shared" si="2"/>
        <v>0</v>
      </c>
      <c r="K28" s="251"/>
      <c r="L28" s="248">
        <f t="shared" si="0"/>
        <v>19</v>
      </c>
    </row>
    <row r="29" spans="1:12" ht="14.4" customHeight="1">
      <c r="F29" s="230">
        <v>20</v>
      </c>
      <c r="G29" s="250">
        <f t="shared" si="3"/>
        <v>0</v>
      </c>
      <c r="H29" s="250">
        <f t="shared" si="4"/>
        <v>0</v>
      </c>
      <c r="I29" s="250">
        <f t="shared" si="1"/>
        <v>295750</v>
      </c>
      <c r="J29" s="250">
        <f t="shared" si="2"/>
        <v>0</v>
      </c>
      <c r="K29" s="251"/>
      <c r="L29" s="248">
        <f t="shared" si="0"/>
        <v>20</v>
      </c>
    </row>
    <row r="30" spans="1:12" ht="14.4" customHeight="1">
      <c r="F30" s="230">
        <v>21</v>
      </c>
      <c r="G30" s="250">
        <f t="shared" si="3"/>
        <v>0</v>
      </c>
      <c r="H30" s="250">
        <f t="shared" si="4"/>
        <v>0</v>
      </c>
      <c r="I30" s="250">
        <f t="shared" si="1"/>
        <v>295750</v>
      </c>
      <c r="J30" s="250">
        <f t="shared" si="2"/>
        <v>0</v>
      </c>
      <c r="K30" s="251"/>
      <c r="L30" s="248">
        <f t="shared" si="0"/>
        <v>21</v>
      </c>
    </row>
    <row r="31" spans="1:12" ht="14.4" customHeight="1">
      <c r="F31" s="230">
        <v>22</v>
      </c>
      <c r="G31" s="250">
        <f t="shared" si="3"/>
        <v>0</v>
      </c>
      <c r="H31" s="250">
        <f t="shared" si="4"/>
        <v>0</v>
      </c>
      <c r="I31" s="250">
        <f t="shared" si="1"/>
        <v>295750</v>
      </c>
      <c r="J31" s="250">
        <f t="shared" si="2"/>
        <v>0</v>
      </c>
      <c r="K31" s="251"/>
      <c r="L31" s="248">
        <f t="shared" si="0"/>
        <v>22</v>
      </c>
    </row>
    <row r="32" spans="1:12" ht="14.4" customHeight="1">
      <c r="F32" s="230">
        <v>23</v>
      </c>
      <c r="G32" s="250">
        <f t="shared" si="3"/>
        <v>0</v>
      </c>
      <c r="H32" s="250">
        <f t="shared" si="4"/>
        <v>0</v>
      </c>
      <c r="I32" s="250">
        <f t="shared" si="1"/>
        <v>295750</v>
      </c>
      <c r="J32" s="250">
        <f t="shared" si="2"/>
        <v>0</v>
      </c>
      <c r="K32" s="251"/>
      <c r="L32" s="248">
        <f t="shared" si="0"/>
        <v>23</v>
      </c>
    </row>
    <row r="33" spans="6:12" ht="14.4" customHeight="1">
      <c r="F33" s="230">
        <v>24</v>
      </c>
      <c r="G33" s="250">
        <f t="shared" si="3"/>
        <v>0</v>
      </c>
      <c r="H33" s="250">
        <f t="shared" si="4"/>
        <v>0</v>
      </c>
      <c r="I33" s="250">
        <f t="shared" si="1"/>
        <v>295750</v>
      </c>
      <c r="J33" s="250">
        <f t="shared" si="2"/>
        <v>0</v>
      </c>
      <c r="K33" s="251"/>
      <c r="L33" s="248">
        <f t="shared" si="0"/>
        <v>24</v>
      </c>
    </row>
    <row r="34" spans="6:12" ht="14.4" customHeight="1">
      <c r="F34" s="230">
        <v>25</v>
      </c>
      <c r="G34" s="250">
        <f t="shared" si="3"/>
        <v>0</v>
      </c>
      <c r="H34" s="250">
        <f t="shared" si="4"/>
        <v>0</v>
      </c>
      <c r="I34" s="250">
        <f t="shared" si="1"/>
        <v>295750</v>
      </c>
      <c r="J34" s="250">
        <f t="shared" si="2"/>
        <v>0</v>
      </c>
      <c r="K34" s="251"/>
      <c r="L34" s="248">
        <f t="shared" si="0"/>
        <v>25</v>
      </c>
    </row>
    <row r="35" spans="6:12" ht="13.8" customHeight="1">
      <c r="F35" s="248"/>
      <c r="G35" s="247"/>
      <c r="H35" s="245"/>
      <c r="I35" s="245"/>
      <c r="J35" s="245"/>
      <c r="K35" s="248"/>
      <c r="L35" s="248"/>
    </row>
    <row r="36" spans="6:12" ht="13.8" customHeight="1">
      <c r="F36" s="248"/>
      <c r="G36" s="247"/>
      <c r="H36" s="245"/>
      <c r="I36" s="245"/>
      <c r="J36" s="245"/>
      <c r="K36" s="248"/>
      <c r="L36" s="248"/>
    </row>
    <row r="37" spans="6:12" ht="13.8" customHeight="1">
      <c r="F37" s="248"/>
      <c r="G37" s="247"/>
      <c r="H37" s="245"/>
      <c r="I37" s="245"/>
      <c r="J37" s="245"/>
      <c r="K37" s="248"/>
      <c r="L37" s="248"/>
    </row>
    <row r="38" spans="6:12" ht="13.8" customHeight="1">
      <c r="F38" s="248">
        <v>6100</v>
      </c>
      <c r="G38" s="247"/>
      <c r="H38" s="245"/>
      <c r="I38" s="245"/>
      <c r="J38" s="245"/>
      <c r="K38" s="248"/>
      <c r="L38" s="248"/>
    </row>
  </sheetData>
  <mergeCells count="5">
    <mergeCell ref="E1:H5"/>
    <mergeCell ref="A18:D18"/>
    <mergeCell ref="A23:D23"/>
    <mergeCell ref="A13:D13"/>
    <mergeCell ref="A1:D5"/>
  </mergeCells>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published="0" codeName="Hoja8">
    <tabColor rgb="FF92D050"/>
  </sheetPr>
  <dimension ref="A1:P62"/>
  <sheetViews>
    <sheetView showGridLines="0" tabSelected="1" topLeftCell="A15" zoomScaleNormal="100" zoomScalePageLayoutView="150" workbookViewId="0">
      <selection activeCell="K23" sqref="K23"/>
    </sheetView>
  </sheetViews>
  <sheetFormatPr baseColWidth="10" defaultColWidth="9.109375" defaultRowHeight="14.4"/>
  <cols>
    <col min="1" max="1" width="18.44140625" style="224" customWidth="1"/>
    <col min="2" max="2" width="7.109375" style="224" customWidth="1"/>
    <col min="3" max="3" width="0.21875" style="224" customWidth="1"/>
    <col min="4" max="4" width="10.6640625" style="224" customWidth="1"/>
    <col min="5" max="5" width="24.109375" style="224" bestFit="1" customWidth="1"/>
    <col min="6" max="6" width="14.77734375" style="224" bestFit="1" customWidth="1"/>
    <col min="7" max="7" width="58.109375" style="224" bestFit="1" customWidth="1"/>
    <col min="8" max="8" width="17.6640625" style="224" customWidth="1"/>
    <col min="9" max="9" width="13.6640625" style="224" customWidth="1"/>
    <col min="10" max="10" width="16.77734375" style="224" customWidth="1"/>
    <col min="11" max="11" width="18.109375" style="224" customWidth="1"/>
    <col min="12" max="78" width="9.109375" style="224" customWidth="1"/>
    <col min="79" max="16384" width="9.109375" style="224"/>
  </cols>
  <sheetData>
    <row r="1" spans="1:16" ht="85.8" customHeight="1">
      <c r="D1" s="325" t="s">
        <v>328</v>
      </c>
      <c r="E1" s="287"/>
      <c r="L1" s="283"/>
      <c r="P1" s="283"/>
    </row>
    <row r="3" spans="1:16" ht="18" customHeight="1">
      <c r="B3" s="226"/>
      <c r="C3" s="279"/>
      <c r="D3" s="291" t="s">
        <v>329</v>
      </c>
      <c r="I3" s="458">
        <f ca="1">TODAY()</f>
        <v>45965</v>
      </c>
      <c r="J3" s="457"/>
      <c r="K3" s="457"/>
    </row>
    <row r="4" spans="1:16" ht="18" customHeight="1">
      <c r="C4" s="279"/>
      <c r="D4" s="291" t="s">
        <v>330</v>
      </c>
      <c r="E4" s="337"/>
      <c r="I4" s="227"/>
      <c r="J4" s="228"/>
    </row>
    <row r="5" spans="1:16" ht="18" customHeight="1">
      <c r="D5" s="346" t="s">
        <v>331</v>
      </c>
      <c r="E5" s="345"/>
    </row>
    <row r="6" spans="1:16" ht="18" customHeight="1">
      <c r="B6" s="228"/>
      <c r="D6" s="291" t="s">
        <v>332</v>
      </c>
      <c r="G6" s="322"/>
      <c r="I6" s="227"/>
    </row>
    <row r="7" spans="1:16" ht="18" customHeight="1">
      <c r="B7" s="238"/>
      <c r="D7" s="291" t="s">
        <v>333</v>
      </c>
      <c r="E7" s="321"/>
      <c r="I7" s="227"/>
    </row>
    <row r="8" spans="1:16" ht="15" customHeight="1">
      <c r="A8" s="479"/>
      <c r="B8" s="457"/>
      <c r="C8" s="457"/>
      <c r="D8" s="229"/>
      <c r="E8" s="289"/>
      <c r="F8" s="290"/>
      <c r="G8" s="295" t="s">
        <v>334</v>
      </c>
      <c r="H8" s="296">
        <f>'CALCULO DE ENERGIA'!P7*'CALCULO DE ENERGIA'!C6/1.2</f>
        <v>78081250</v>
      </c>
      <c r="I8" s="298" t="s">
        <v>335</v>
      </c>
      <c r="J8" s="288"/>
      <c r="K8" s="299">
        <f>H8/H9</f>
        <v>1.0000017177736453</v>
      </c>
    </row>
    <row r="9" spans="1:16" ht="15" customHeight="1">
      <c r="A9" s="286"/>
      <c r="B9" s="293"/>
      <c r="C9" s="282"/>
      <c r="D9" s="229"/>
      <c r="E9" s="289"/>
      <c r="F9" s="290"/>
      <c r="G9" s="294" t="s">
        <v>336</v>
      </c>
      <c r="H9" s="297">
        <f>'CALCULO DE ENERGIA'!G21/1.2</f>
        <v>78081115.874316946</v>
      </c>
      <c r="I9" s="298" t="str">
        <f>'CALCULO DE ENERGIA'!P6</f>
        <v>Watts instalados</v>
      </c>
      <c r="K9" s="297">
        <f>'CALCULO DE ENERGIA'!P7</f>
        <v>20150000</v>
      </c>
    </row>
    <row r="10" spans="1:16" ht="15.6" customHeight="1">
      <c r="A10" s="225"/>
    </row>
    <row r="11" spans="1:16" s="292" customFormat="1" ht="41.4" customHeight="1">
      <c r="A11" s="459" t="s">
        <v>337</v>
      </c>
      <c r="B11" s="455"/>
      <c r="C11" s="455"/>
      <c r="D11" s="459" t="s">
        <v>338</v>
      </c>
      <c r="E11" s="455"/>
      <c r="F11" s="455"/>
      <c r="G11" s="455"/>
      <c r="H11" s="338"/>
      <c r="I11" s="338"/>
      <c r="J11" s="300" t="s">
        <v>270</v>
      </c>
      <c r="K11" s="301" t="s">
        <v>268</v>
      </c>
    </row>
    <row r="12" spans="1:16" s="292" customFormat="1" ht="28.8" customHeight="1">
      <c r="A12" s="302"/>
      <c r="C12" s="303"/>
      <c r="D12" s="304" t="s">
        <v>339</v>
      </c>
      <c r="E12" s="305"/>
      <c r="F12" s="305"/>
      <c r="G12" s="305"/>
      <c r="J12" s="306"/>
      <c r="K12" s="307"/>
    </row>
    <row r="13" spans="1:16" s="292" customFormat="1" ht="24.6" customHeight="1">
      <c r="A13" s="460">
        <v>1.1000000000000001</v>
      </c>
      <c r="B13" s="455"/>
      <c r="C13" s="455"/>
      <c r="D13" s="454" t="str">
        <f>COTIZACIÓN!B8</f>
        <v>Modulo Solar 620W, 50 Vcd, Monocristalino, 144 Celdas grado A</v>
      </c>
      <c r="E13" s="455"/>
      <c r="F13" s="455"/>
      <c r="G13" s="455"/>
      <c r="H13" s="455"/>
      <c r="I13" s="455"/>
      <c r="J13" s="308">
        <f>COTIZACIÓN!F8</f>
        <v>32500</v>
      </c>
      <c r="K13" s="309" t="s">
        <v>340</v>
      </c>
    </row>
    <row r="14" spans="1:16" s="292" customFormat="1" ht="39.6" customHeight="1">
      <c r="A14" s="460">
        <v>1.2</v>
      </c>
      <c r="B14" s="455"/>
      <c r="C14" s="455"/>
      <c r="D14" s="454" t="str">
        <f>COTIZACIÓN!B11</f>
        <v>Inversor para Interconexión a CFE de 3 kW con Salida de 220 Vca, Módulo Wifi Incluido</v>
      </c>
      <c r="E14" s="455"/>
      <c r="F14" s="455"/>
      <c r="G14" s="455"/>
      <c r="H14" s="455"/>
      <c r="I14" s="455"/>
      <c r="J14" s="308">
        <f>COTIZACIÓN!F11</f>
        <v>1</v>
      </c>
      <c r="K14" s="309" t="s">
        <v>340</v>
      </c>
    </row>
    <row r="15" spans="1:16" s="292" customFormat="1" ht="69.599999999999994" customHeight="1">
      <c r="A15" s="460">
        <v>1.3</v>
      </c>
      <c r="B15" s="455"/>
      <c r="C15" s="455"/>
      <c r="D15" s="454" t="str">
        <f>COTIZACIÓN!B9</f>
        <v>Montaje extra largo de aluminio anodizado para techo o piso de concreto, de alta resistencia a climas extremos y rápida instalación para arreglo 1x4 módulos fotovoltáicos de 40mm de espesor</v>
      </c>
      <c r="E15" s="455"/>
      <c r="F15" s="455"/>
      <c r="G15" s="455"/>
      <c r="H15" s="455"/>
      <c r="I15" s="455"/>
      <c r="J15" s="308">
        <f>COTIZACIÓN!F9</f>
        <v>8125</v>
      </c>
      <c r="K15" s="309" t="s">
        <v>340</v>
      </c>
    </row>
    <row r="16" spans="1:16" s="292" customFormat="1" ht="101.4" customHeight="1">
      <c r="A16" s="460">
        <v>1.4</v>
      </c>
      <c r="B16" s="455"/>
      <c r="C16" s="455"/>
      <c r="D16" s="454" t="str">
        <f>COTIZACIÓN!B10</f>
        <v>Suministro e instalación de material eléctrico de acuerdo con la NOM-001-sede-vigente. Incluye: canalización a base de tubería galvanizada pg tipo imc cuando se encuentre expuesta o la intemperie, tubería galvanizada pd tipo emt cuando se encuentre bajo techumbres, falsos plafones o muros de Tablaroca, protecciones, cableado, sistema de protecciones lado corriente alterna y lado corriente directa.</v>
      </c>
      <c r="E16" s="455"/>
      <c r="F16" s="455"/>
      <c r="G16" s="455"/>
      <c r="H16" s="455"/>
      <c r="I16" s="455"/>
      <c r="J16" s="308">
        <f>COTIZACIÓN!F10</f>
        <v>32500</v>
      </c>
      <c r="K16" s="309" t="s">
        <v>340</v>
      </c>
    </row>
    <row r="17" spans="1:11" s="318" customFormat="1" ht="23.4" customHeight="1">
      <c r="A17" s="461"/>
      <c r="B17" s="462"/>
      <c r="C17" s="462"/>
      <c r="D17" s="461"/>
      <c r="E17" s="462"/>
      <c r="F17" s="462"/>
      <c r="G17" s="462"/>
      <c r="H17" s="315"/>
      <c r="I17" s="315"/>
      <c r="J17" s="316"/>
      <c r="K17" s="317"/>
    </row>
    <row r="18" spans="1:11" ht="69.599999999999994" customHeight="1">
      <c r="A18" s="460">
        <v>1.5</v>
      </c>
      <c r="B18" s="457"/>
      <c r="C18" s="457"/>
      <c r="D18" s="454" t="str">
        <f>COTIZACIÓN!B17</f>
        <v xml:space="preserve">Servicio de mano de obra calificada. Técnicos con constancias para trabajos eléctricos y trabajos en alturas, certificación en el estándar de competencia, ingeniería especializada, logística, fletes, maniobras, acarreos y limpieza en general. </v>
      </c>
      <c r="E18" s="457"/>
      <c r="F18" s="457"/>
      <c r="G18" s="457"/>
      <c r="H18" s="457"/>
      <c r="I18" s="457"/>
      <c r="J18" s="308">
        <f>+COTIZACIÓN!F17</f>
        <v>32500</v>
      </c>
      <c r="K18" s="309" t="s">
        <v>340</v>
      </c>
    </row>
    <row r="19" spans="1:11" ht="17.399999999999999" customHeight="1">
      <c r="A19" s="461"/>
      <c r="B19" s="457"/>
      <c r="C19" s="457"/>
      <c r="D19" s="461"/>
      <c r="E19" s="457"/>
      <c r="F19" s="457"/>
      <c r="G19" s="457"/>
      <c r="H19" s="300"/>
      <c r="I19" s="300"/>
      <c r="J19" s="319"/>
      <c r="K19" s="320"/>
    </row>
    <row r="20" spans="1:11">
      <c r="A20" s="480" t="s">
        <v>341</v>
      </c>
      <c r="B20" s="457"/>
      <c r="C20" s="457"/>
      <c r="D20" s="457"/>
      <c r="I20" s="227"/>
      <c r="J20" s="227"/>
      <c r="K20" s="227"/>
    </row>
    <row r="21" spans="1:11" ht="21" customHeight="1">
      <c r="A21" s="457"/>
      <c r="B21" s="457"/>
      <c r="C21" s="457"/>
      <c r="D21" s="457"/>
      <c r="E21" s="353" t="s">
        <v>342</v>
      </c>
      <c r="F21" s="342">
        <f>PRODUCT(K23,0.7)</f>
        <v>207025000</v>
      </c>
      <c r="G21" s="356"/>
      <c r="H21" s="468" t="s">
        <v>368</v>
      </c>
      <c r="I21" s="469"/>
      <c r="J21" s="357" t="s">
        <v>370</v>
      </c>
      <c r="K21" s="358">
        <f>COTIZACIÓN!G28 /1.16</f>
        <v>254956896.55172417</v>
      </c>
    </row>
    <row r="22" spans="1:11" ht="21">
      <c r="A22" s="457"/>
      <c r="B22" s="457"/>
      <c r="C22" s="457"/>
      <c r="D22" s="457"/>
      <c r="E22" s="354" t="s">
        <v>343</v>
      </c>
      <c r="F22" s="343">
        <f>PRODUCT(K23,0.3)</f>
        <v>88725000</v>
      </c>
      <c r="G22" s="352"/>
      <c r="H22" s="470"/>
      <c r="I22" s="470"/>
      <c r="J22" s="359" t="s">
        <v>371</v>
      </c>
      <c r="K22" s="360">
        <f>+K21*0.16</f>
        <v>40793103.448275864</v>
      </c>
    </row>
    <row r="23" spans="1:11" ht="29.4" thickBot="1">
      <c r="A23" s="457"/>
      <c r="B23" s="457"/>
      <c r="C23" s="457"/>
      <c r="D23" s="457"/>
      <c r="E23" s="355" t="s">
        <v>367</v>
      </c>
      <c r="F23" s="344">
        <f>+F21+F22</f>
        <v>295750000</v>
      </c>
      <c r="G23" s="352"/>
      <c r="H23" s="468" t="s">
        <v>369</v>
      </c>
      <c r="I23" s="469"/>
      <c r="J23" s="361" t="s">
        <v>367</v>
      </c>
      <c r="K23" s="362">
        <f>+K21+K22</f>
        <v>295750000</v>
      </c>
    </row>
    <row r="24" spans="1:11" ht="25.8" customHeight="1">
      <c r="A24" s="456" t="s">
        <v>344</v>
      </c>
      <c r="B24" s="457"/>
      <c r="C24" s="457"/>
      <c r="D24" s="457"/>
      <c r="E24" s="457"/>
      <c r="F24" s="457"/>
      <c r="G24" s="457"/>
      <c r="H24" s="457"/>
      <c r="I24" s="457"/>
      <c r="J24" s="457"/>
      <c r="K24" s="457"/>
    </row>
    <row r="25" spans="1:11" ht="15" customHeight="1" thickBot="1"/>
    <row r="26" spans="1:11" ht="15.75" customHeight="1" thickBot="1">
      <c r="J26" s="471" t="s">
        <v>345</v>
      </c>
      <c r="K26" s="472"/>
    </row>
    <row r="27" spans="1:11" ht="15.75" customHeight="1" thickBot="1">
      <c r="J27" s="473"/>
      <c r="K27" s="474"/>
    </row>
    <row r="28" spans="1:11" ht="15" customHeight="1" thickBot="1">
      <c r="J28" s="465"/>
      <c r="K28" s="467"/>
    </row>
    <row r="29" spans="1:11" ht="15" customHeight="1" thickBot="1">
      <c r="J29" s="464" t="e">
        <f>RECUPERACION!D7</f>
        <v>#DIV/0!</v>
      </c>
      <c r="K29" s="466" t="s">
        <v>346</v>
      </c>
    </row>
    <row r="30" spans="1:11" ht="15" customHeight="1">
      <c r="J30" s="465"/>
      <c r="K30" s="467"/>
    </row>
    <row r="31" spans="1:11" ht="15" customHeight="1">
      <c r="J31" s="463"/>
      <c r="K31" s="457"/>
    </row>
    <row r="32" spans="1:11" ht="15" customHeight="1">
      <c r="J32" s="457"/>
      <c r="K32" s="457"/>
    </row>
    <row r="33" spans="1:12">
      <c r="J33" s="457"/>
      <c r="K33" s="457"/>
    </row>
    <row r="34" spans="1:12">
      <c r="J34" s="481"/>
      <c r="K34" s="482"/>
    </row>
    <row r="35" spans="1:12">
      <c r="J35" s="457"/>
      <c r="K35" s="457"/>
    </row>
    <row r="36" spans="1:12" ht="18" customHeight="1">
      <c r="A36" s="311" t="s">
        <v>347</v>
      </c>
      <c r="B36" s="311"/>
      <c r="C36" s="311"/>
      <c r="D36" s="311"/>
      <c r="E36" s="311"/>
      <c r="F36" s="311"/>
      <c r="G36" s="311"/>
      <c r="H36" s="311" t="s">
        <v>348</v>
      </c>
      <c r="I36" s="311"/>
      <c r="J36" s="311"/>
      <c r="K36" s="311"/>
    </row>
    <row r="37" spans="1:12" ht="16.8" customHeight="1">
      <c r="A37" s="291" t="s">
        <v>349</v>
      </c>
      <c r="B37" s="291"/>
      <c r="C37" s="291"/>
      <c r="D37" s="291"/>
      <c r="E37" s="292"/>
      <c r="F37" s="292"/>
      <c r="G37" s="292"/>
      <c r="H37" s="310" t="s">
        <v>350</v>
      </c>
      <c r="I37" s="312">
        <f>COTIZACIÓN!J11</f>
        <v>124000</v>
      </c>
      <c r="J37" s="292"/>
      <c r="K37" s="292"/>
    </row>
    <row r="38" spans="1:12" ht="18" customHeight="1">
      <c r="A38" s="311" t="s">
        <v>351</v>
      </c>
      <c r="B38" s="311"/>
      <c r="C38" s="311"/>
      <c r="D38" s="311"/>
      <c r="E38" s="311"/>
      <c r="F38" s="311"/>
      <c r="G38" s="311"/>
      <c r="H38" s="311"/>
      <c r="I38" s="311"/>
      <c r="J38" s="311"/>
      <c r="K38" s="311"/>
    </row>
    <row r="39" spans="1:12" ht="16.2" customHeight="1">
      <c r="A39" s="291" t="s">
        <v>352</v>
      </c>
      <c r="B39" s="291"/>
      <c r="C39" s="291"/>
      <c r="D39" s="291"/>
      <c r="E39" s="292"/>
      <c r="F39" s="292"/>
      <c r="G39" s="292"/>
      <c r="H39" s="292"/>
      <c r="I39" s="292"/>
      <c r="J39" s="292"/>
      <c r="K39" s="292"/>
    </row>
    <row r="40" spans="1:12" ht="18" customHeight="1">
      <c r="A40" s="311" t="s">
        <v>353</v>
      </c>
      <c r="B40" s="311"/>
      <c r="C40" s="311"/>
      <c r="D40" s="311"/>
      <c r="E40" s="311"/>
      <c r="F40" s="311"/>
      <c r="G40" s="311"/>
      <c r="H40" s="311"/>
      <c r="I40" s="311"/>
      <c r="J40" s="311"/>
      <c r="K40" s="311"/>
    </row>
    <row r="41" spans="1:12" ht="13.8" customHeight="1">
      <c r="A41" s="291" t="s">
        <v>354</v>
      </c>
      <c r="B41" s="291"/>
      <c r="C41" s="291"/>
      <c r="D41" s="291"/>
      <c r="E41" s="292"/>
      <c r="F41" s="292"/>
      <c r="G41" s="292"/>
      <c r="H41" s="292"/>
      <c r="I41" s="292"/>
      <c r="J41" s="292"/>
      <c r="K41" s="292"/>
    </row>
    <row r="42" spans="1:12" ht="18" customHeight="1">
      <c r="A42" s="311"/>
      <c r="B42" s="311"/>
      <c r="C42" s="311"/>
      <c r="D42" s="311"/>
      <c r="E42" s="311"/>
      <c r="F42" s="311"/>
      <c r="G42" s="311"/>
      <c r="H42" s="311"/>
      <c r="I42" s="311"/>
      <c r="J42" s="311"/>
      <c r="K42" s="311"/>
    </row>
    <row r="43" spans="1:12" ht="18" customHeight="1">
      <c r="A43" s="292" t="s">
        <v>355</v>
      </c>
      <c r="B43" s="292"/>
      <c r="C43" s="292"/>
      <c r="D43" s="292"/>
      <c r="E43" s="337"/>
      <c r="F43" s="337"/>
      <c r="G43" s="337"/>
    </row>
    <row r="44" spans="1:12" ht="18" customHeight="1">
      <c r="A44" s="477" t="s">
        <v>356</v>
      </c>
      <c r="B44" s="457"/>
      <c r="C44" s="457"/>
      <c r="D44" s="457"/>
      <c r="E44" s="457"/>
      <c r="F44" s="457"/>
      <c r="G44" s="457"/>
      <c r="H44" s="292"/>
      <c r="I44" s="292"/>
      <c r="J44" s="292"/>
      <c r="K44" s="292"/>
    </row>
    <row r="45" spans="1:12" ht="15" customHeight="1">
      <c r="A45" s="336" t="s">
        <v>357</v>
      </c>
      <c r="B45" s="336"/>
      <c r="C45" s="336"/>
      <c r="D45" s="336"/>
      <c r="E45" s="336"/>
      <c r="F45" s="336"/>
      <c r="G45" s="336"/>
      <c r="H45" s="292"/>
      <c r="I45" s="292"/>
      <c r="J45" s="292"/>
      <c r="K45" s="292"/>
    </row>
    <row r="46" spans="1:12" ht="15" customHeight="1">
      <c r="A46" s="337" t="s">
        <v>358</v>
      </c>
      <c r="B46" s="292"/>
      <c r="C46" s="292"/>
      <c r="D46" s="292"/>
      <c r="E46" s="292"/>
      <c r="F46" s="292"/>
      <c r="G46" s="292"/>
      <c r="H46" s="292"/>
      <c r="I46" s="292"/>
      <c r="J46" s="292"/>
      <c r="K46" s="292"/>
      <c r="L46" s="232"/>
    </row>
    <row r="47" spans="1:12" ht="25.8" customHeight="1">
      <c r="A47" s="478" t="s">
        <v>359</v>
      </c>
      <c r="B47" s="457"/>
      <c r="C47" s="457"/>
      <c r="D47" s="457"/>
      <c r="E47" s="457"/>
      <c r="F47" s="457"/>
      <c r="G47" s="457"/>
      <c r="H47" s="457"/>
      <c r="I47" s="457"/>
      <c r="J47" s="457"/>
      <c r="K47" s="457"/>
    </row>
    <row r="48" spans="1:12">
      <c r="A48" s="457"/>
      <c r="B48" s="457"/>
      <c r="C48" s="457"/>
      <c r="D48" s="457"/>
      <c r="E48" s="457"/>
      <c r="F48" s="457"/>
      <c r="G48" s="457"/>
      <c r="H48" s="457"/>
      <c r="I48" s="457"/>
      <c r="J48" s="457"/>
      <c r="K48" s="457"/>
    </row>
    <row r="49" spans="1:11" ht="18" customHeight="1">
      <c r="A49" s="337" t="s">
        <v>360</v>
      </c>
      <c r="B49" s="292"/>
      <c r="C49" s="292"/>
      <c r="D49" s="292"/>
      <c r="E49" s="292"/>
      <c r="F49" s="292"/>
      <c r="G49" s="292"/>
      <c r="H49" s="292"/>
      <c r="I49" s="292"/>
      <c r="J49" s="292"/>
      <c r="K49" s="292"/>
    </row>
    <row r="50" spans="1:11" ht="18" customHeight="1">
      <c r="A50" s="337" t="s">
        <v>361</v>
      </c>
      <c r="B50" s="292"/>
      <c r="C50" s="292"/>
      <c r="D50" s="292"/>
      <c r="E50" s="292"/>
      <c r="F50" s="292"/>
      <c r="G50" s="292"/>
      <c r="H50" s="292"/>
      <c r="I50" s="292"/>
      <c r="J50" s="292"/>
      <c r="K50" s="292"/>
    </row>
    <row r="51" spans="1:11" ht="18" customHeight="1">
      <c r="A51" s="350"/>
      <c r="B51" s="351"/>
      <c r="C51" s="351"/>
      <c r="D51" s="351"/>
      <c r="E51" s="351"/>
      <c r="I51" s="292"/>
      <c r="J51" s="292"/>
      <c r="K51" s="292"/>
    </row>
    <row r="52" spans="1:11" ht="18" customHeight="1">
      <c r="A52" s="292"/>
      <c r="B52" s="292"/>
      <c r="C52" s="292"/>
      <c r="D52" s="292"/>
      <c r="E52" s="292"/>
      <c r="I52" s="292"/>
      <c r="J52" s="292"/>
      <c r="K52" s="292"/>
    </row>
    <row r="53" spans="1:11" ht="18" customHeight="1">
      <c r="A53" s="292"/>
      <c r="B53" s="292"/>
      <c r="C53" s="292"/>
      <c r="D53" s="292"/>
      <c r="E53" s="292"/>
      <c r="I53" s="292"/>
      <c r="J53" s="292"/>
      <c r="K53" s="292"/>
    </row>
    <row r="54" spans="1:11" ht="18" customHeight="1">
      <c r="A54" s="292"/>
      <c r="B54" s="292"/>
      <c r="C54" s="292"/>
      <c r="D54" s="292"/>
      <c r="E54" s="292"/>
      <c r="I54" s="292"/>
      <c r="J54" s="292"/>
      <c r="K54" s="292"/>
    </row>
    <row r="55" spans="1:11" ht="18" customHeight="1">
      <c r="A55" s="292"/>
      <c r="B55" s="292"/>
      <c r="C55" s="292"/>
      <c r="D55" s="292"/>
      <c r="E55" s="292"/>
      <c r="F55" s="351"/>
      <c r="G55" s="313" t="s">
        <v>362</v>
      </c>
      <c r="H55" s="292"/>
      <c r="I55" s="292"/>
      <c r="J55" s="292"/>
      <c r="K55" s="292"/>
    </row>
    <row r="56" spans="1:11" ht="18">
      <c r="A56" s="292"/>
      <c r="B56" s="292"/>
      <c r="C56" s="292"/>
      <c r="D56" s="292"/>
      <c r="E56" s="292"/>
      <c r="F56" s="292"/>
      <c r="G56" s="313" t="s">
        <v>363</v>
      </c>
      <c r="H56" s="292"/>
      <c r="I56" s="292"/>
      <c r="J56" s="292"/>
      <c r="K56" s="292"/>
    </row>
    <row r="57" spans="1:11" ht="18">
      <c r="A57" s="292"/>
      <c r="B57" s="292"/>
      <c r="C57" s="292"/>
      <c r="D57" s="292"/>
      <c r="E57" s="292"/>
      <c r="F57" s="292"/>
      <c r="G57" s="314" t="s">
        <v>364</v>
      </c>
      <c r="H57" s="292"/>
      <c r="I57" s="292"/>
      <c r="J57" s="292"/>
      <c r="K57" s="292"/>
    </row>
    <row r="58" spans="1:11" ht="18">
      <c r="A58" s="292"/>
      <c r="B58" s="292"/>
      <c r="C58" s="292"/>
      <c r="D58" s="292"/>
      <c r="E58" s="292"/>
      <c r="F58" s="292"/>
      <c r="G58" s="314" t="s">
        <v>365</v>
      </c>
      <c r="H58" s="292"/>
      <c r="I58" s="292"/>
      <c r="J58" s="292"/>
      <c r="K58" s="292"/>
    </row>
    <row r="59" spans="1:11" ht="18">
      <c r="A59" s="292"/>
      <c r="B59" s="292"/>
      <c r="C59" s="292"/>
      <c r="D59" s="292"/>
      <c r="E59" s="292"/>
      <c r="F59" s="292"/>
      <c r="H59" s="292"/>
      <c r="I59" s="292"/>
      <c r="J59" s="292"/>
      <c r="K59" s="292"/>
    </row>
    <row r="60" spans="1:11" ht="18">
      <c r="A60" s="292"/>
      <c r="B60" s="292"/>
      <c r="C60" s="292"/>
      <c r="D60" s="292"/>
      <c r="E60" s="292"/>
      <c r="F60" s="292"/>
      <c r="H60" s="292"/>
      <c r="I60" s="292"/>
      <c r="J60" s="292"/>
      <c r="K60" s="292"/>
    </row>
    <row r="61" spans="1:11" ht="18">
      <c r="A61" s="292"/>
      <c r="B61" s="292"/>
      <c r="C61" s="292"/>
      <c r="D61" s="292"/>
      <c r="E61" s="292"/>
      <c r="F61" s="292"/>
      <c r="H61" s="292"/>
      <c r="I61" s="292"/>
      <c r="J61" s="292"/>
      <c r="K61" s="292"/>
    </row>
    <row r="62" spans="1:11" ht="18">
      <c r="A62" s="475" t="s">
        <v>366</v>
      </c>
      <c r="B62" s="476"/>
      <c r="C62" s="476"/>
      <c r="D62" s="476"/>
      <c r="E62" s="476"/>
      <c r="F62" s="476"/>
      <c r="G62" s="476"/>
      <c r="H62" s="476"/>
      <c r="I62" s="476"/>
      <c r="J62" s="476"/>
      <c r="K62" s="476"/>
    </row>
  </sheetData>
  <mergeCells count="32">
    <mergeCell ref="A62:K62"/>
    <mergeCell ref="A44:G44"/>
    <mergeCell ref="A47:K48"/>
    <mergeCell ref="A14:C14"/>
    <mergeCell ref="A8:C8"/>
    <mergeCell ref="D18:I18"/>
    <mergeCell ref="A17:C17"/>
    <mergeCell ref="D19:G19"/>
    <mergeCell ref="D15:I15"/>
    <mergeCell ref="A13:C13"/>
    <mergeCell ref="A19:C19"/>
    <mergeCell ref="D14:I14"/>
    <mergeCell ref="A20:D23"/>
    <mergeCell ref="J34:J35"/>
    <mergeCell ref="A18:C18"/>
    <mergeCell ref="K34:K35"/>
    <mergeCell ref="J31:K33"/>
    <mergeCell ref="J29:J30"/>
    <mergeCell ref="K29:K30"/>
    <mergeCell ref="H21:I21"/>
    <mergeCell ref="H23:I23"/>
    <mergeCell ref="H22:I22"/>
    <mergeCell ref="J26:K28"/>
    <mergeCell ref="D13:I13"/>
    <mergeCell ref="A24:K24"/>
    <mergeCell ref="I3:K3"/>
    <mergeCell ref="D16:I16"/>
    <mergeCell ref="D11:G11"/>
    <mergeCell ref="A15:C15"/>
    <mergeCell ref="D17:G17"/>
    <mergeCell ref="A11:C11"/>
    <mergeCell ref="A16:C16"/>
  </mergeCells>
  <printOptions horizontalCentered="1" verticalCentered="1"/>
  <pageMargins left="0.23622047244094491" right="0.23622047244094491" top="0.39370078740157483" bottom="0.39370078740157483" header="0.19685039370078741" footer="0.31496062992125978"/>
  <pageSetup scale="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arHojaAPDF">
                <anchor moveWithCells="1" sizeWithCells="1">
                  <from>
                    <xdr:col>8</xdr:col>
                    <xdr:colOff>548640</xdr:colOff>
                    <xdr:row>3</xdr:row>
                    <xdr:rowOff>60960</xdr:rowOff>
                  </from>
                  <to>
                    <xdr:col>10</xdr:col>
                    <xdr:colOff>1005840</xdr:colOff>
                    <xdr:row>6</xdr:row>
                    <xdr:rowOff>167640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10</vt:i4>
      </vt:variant>
    </vt:vector>
  </HeadingPairs>
  <TitlesOfParts>
    <vt:vector size="18" baseType="lpstr">
      <vt:lpstr>Referencias</vt:lpstr>
      <vt:lpstr>Tablas</vt:lpstr>
      <vt:lpstr>cal. tierra</vt:lpstr>
      <vt:lpstr>PROMEDIO DE CONSUMO</vt:lpstr>
      <vt:lpstr>CALCULO DE ENERGIA</vt:lpstr>
      <vt:lpstr>COTIZACIÓN</vt:lpstr>
      <vt:lpstr>RECUPERACION</vt:lpstr>
      <vt:lpstr>FORMATO DE COTIZACION</vt:lpstr>
      <vt:lpstr>ACOPLADOR</vt:lpstr>
      <vt:lpstr>'FORMATO DE COTIZACION'!Área_de_impresión</vt:lpstr>
      <vt:lpstr>BARRA</vt:lpstr>
      <vt:lpstr>CALIBRE</vt:lpstr>
      <vt:lpstr>ELECTRODO</vt:lpstr>
      <vt:lpstr>EXC_PARA</vt:lpstr>
      <vt:lpstr>EXCAVACION</vt:lpstr>
      <vt:lpstr>insolacin1</vt:lpstr>
      <vt:lpstr>Insolación</vt:lpstr>
      <vt:lpstr>insolasion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ALEJANDRO DIAZ GAXIOLA</dc:creator>
  <cp:lastModifiedBy>JORGE ALEJANDRO DIAZ GAXIOLA</cp:lastModifiedBy>
  <cp:lastPrinted>2025-11-03T18:44:19Z</cp:lastPrinted>
  <dcterms:created xsi:type="dcterms:W3CDTF">2006-07-31T16:09:03Z</dcterms:created>
  <dcterms:modified xsi:type="dcterms:W3CDTF">2025-11-04T20:20:29Z</dcterms:modified>
</cp:coreProperties>
</file>